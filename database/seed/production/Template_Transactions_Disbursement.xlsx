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Field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4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1F4E79"/>
      <sz val="11"/>
    </font>
    <font>
      <name val="Arial"/>
      <sz val="10"/>
    </font>
    <font>
      <name val="Arial"/>
      <b val="1"/>
      <color rgb="00FFFFFF"/>
      <sz val="10"/>
    </font>
    <font>
      <name val="Arial"/>
      <color rgb="000066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color rgb="001F4E79"/>
      <sz val="9"/>
    </font>
    <font>
      <name val="Arial"/>
      <b val="1"/>
      <color rgb="00C65911"/>
      <sz val="10"/>
    </font>
    <font>
      <name val="Arial"/>
      <b val="1"/>
      <color rgb="001F4E79"/>
      <sz val="12"/>
    </font>
    <font>
      <name val="Arial"/>
      <i val="1"/>
      <sz val="9"/>
    </font>
    <font>
      <name val="Arial"/>
      <b val="1"/>
    </font>
    <font>
      <name val="Arial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C65911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164" fontId="5" fillId="4" borderId="1" pivotButton="0" quotePrefix="0" xfId="0"/>
    <xf numFmtId="4" fontId="5" fillId="4" borderId="1" pivotButton="0" quotePrefix="0" xfId="0"/>
    <xf numFmtId="4" fontId="6" fillId="4" borderId="1" pivotButton="0" quotePrefix="0" xfId="0"/>
    <xf numFmtId="0" fontId="7" fillId="0" borderId="1" pivotButton="0" quotePrefix="0" xfId="0"/>
    <xf numFmtId="164" fontId="7" fillId="0" borderId="1" pivotButton="0" quotePrefix="0" xfId="0"/>
    <xf numFmtId="4" fontId="7" fillId="0" borderId="1" pivotButton="0" quotePrefix="0" xfId="0"/>
    <xf numFmtId="4" fontId="6" fillId="0" borderId="1" pivotButton="0" quotePrefix="0" xfId="0"/>
    <xf numFmtId="0" fontId="4" fillId="3" borderId="1" pivotButton="0" quotePrefix="0" xfId="0"/>
    <xf numFmtId="0" fontId="3" fillId="0" borderId="1" pivotButton="0" quotePrefix="0" xfId="0"/>
    <xf numFmtId="0" fontId="3" fillId="5" borderId="1" pivotButton="0" quotePrefix="0" xfId="0"/>
    <xf numFmtId="0" fontId="9" fillId="0" borderId="0" pivotButton="0" quotePrefix="0" xfId="0"/>
    <xf numFmtId="0" fontId="8" fillId="0" borderId="1" pivotButton="0" quotePrefix="0" xfId="0"/>
    <xf numFmtId="164" fontId="8" fillId="0" borderId="1" pivotButton="0" quotePrefix="0" xfId="0"/>
    <xf numFmtId="4" fontId="8" fillId="0" borderId="1" pivotButton="0" quotePrefix="0" xfId="0"/>
    <xf numFmtId="4" fontId="0" fillId="0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cols>
    <col width="110" customWidth="1" min="1" max="1"/>
    <col width="20" customWidth="1" min="2" max="2"/>
  </cols>
  <sheetData>
    <row r="1">
      <c r="A1" s="1" t="inlineStr">
        <is>
          <t>TRANSACTIONS — DISBURSEMENT (Distributions / Withdrawals / SSA / 1099)</t>
        </is>
      </c>
    </row>
    <row r="2"/>
    <row r="3">
      <c r="A3" s="2" t="inlineStr">
        <is>
          <t>Purpose</t>
        </is>
      </c>
    </row>
    <row r="4">
      <c r="A4" s="3" t="inlineStr">
        <is>
          <t>Cash events that are NOT yield: IRA/Roth distributions, brokerage withdrawals, HSA medical debits, Social Security, and other 1099 income.</t>
        </is>
      </c>
    </row>
    <row r="5">
      <c r="A5" s="3" t="inlineStr">
        <is>
          <t>These feed Burndown actuals/disbursements, income/tax roll-ups (IRA dist total+sub, SSA Tom/Barb, brokerage withdrawals), and cash-flow projections (use amount_net).</t>
        </is>
      </c>
    </row>
    <row r="6"/>
    <row r="7">
      <c r="A7" s="2" t="inlineStr">
        <is>
          <t>Source</t>
        </is>
      </c>
    </row>
    <row r="8">
      <c r="A8" s="3" t="inlineStr">
        <is>
          <t>Primarily the old Trends / Dashboard weekly log and Fidelity distribution activity. NOT from ROI Flag=Div (those live in Template_Transactions_Yield).</t>
        </is>
      </c>
    </row>
    <row r="9">
      <c r="A9" s="3" t="inlineStr">
        <is>
          <t>User will populate or provide extract; no bulk auto-load yet.</t>
        </is>
      </c>
    </row>
    <row r="10"/>
    <row r="11">
      <c r="A11" s="2" t="inlineStr">
        <is>
          <t>Columns (facts only)</t>
        </is>
      </c>
    </row>
    <row r="12">
      <c r="A12" s="3" t="inlineStr">
        <is>
          <t xml:space="preserve">  account_name       — Income | Car | Health | FI Roth | Speculation | 9 | Robinhood | ENERGYX | External</t>
        </is>
      </c>
    </row>
    <row r="13">
      <c r="A13" s="3" t="inlineStr">
        <is>
          <t xml:space="preserve">  txn_date           — date of the distribution / payment / withdrawal</t>
        </is>
      </c>
    </row>
    <row r="14">
      <c r="A14" s="3" t="inlineStr">
        <is>
          <t xml:space="preserve">  txn_type           — IRA_Distribution | Roth_Distribution | Withdrawal | SSA | Form_1099 | Other</t>
        </is>
      </c>
    </row>
    <row r="15">
      <c r="A15" s="3" t="inlineStr">
        <is>
          <t xml:space="preserve">  amount_gross       — dollars before any withholding</t>
        </is>
      </c>
    </row>
    <row r="16">
      <c r="A16" s="3" t="inlineStr">
        <is>
          <t xml:space="preserve">  fed_tax_withheld   — federal tax withheld (0 if none)</t>
        </is>
      </c>
    </row>
    <row r="17">
      <c r="A17" s="3" t="inlineStr">
        <is>
          <t xml:space="preserve">  state_tax_withheld — state tax withheld (0 if none)</t>
        </is>
      </c>
    </row>
    <row r="18">
      <c r="A18" s="3" t="inlineStr">
        <is>
          <t xml:space="preserve">  amount_net         — formula: gross − fed − state  (cash that actually moves; used by Burndown &amp; projections)</t>
        </is>
      </c>
    </row>
    <row r="19">
      <c r="A19" s="3" t="inlineStr">
        <is>
          <t xml:space="preserve">  payee              — Tom | Barb  (REQUIRED when txn_type = SSA; blank otherwise)</t>
        </is>
      </c>
    </row>
    <row r="20">
      <c r="A20" s="3" t="inlineStr">
        <is>
          <t xml:space="preserve">  purpose            — optional; Health Withdrawals are medical by default (no extra flag needed in v1)</t>
        </is>
      </c>
    </row>
    <row r="21">
      <c r="A21" s="3" t="inlineStr">
        <is>
          <t xml:space="preserve">  source_notes       — original description or Trends label</t>
        </is>
      </c>
    </row>
    <row r="22">
      <c r="A22" s="3" t="inlineStr">
        <is>
          <t xml:space="preserve">  source_year        — calendar year</t>
        </is>
      </c>
    </row>
    <row r="23">
      <c r="A23" s="3" t="inlineStr">
        <is>
          <t xml:space="preserve">  source_ref         — audit pointer e.g. Trends 2025-W12 or Fidelity activity id</t>
        </is>
      </c>
    </row>
    <row r="24">
      <c r="A24" s="3" t="inlineStr">
        <is>
          <t xml:space="preserve">  notes              — free text</t>
        </is>
      </c>
    </row>
    <row r="25"/>
    <row r="26">
      <c r="A26" s="2" t="inlineStr">
        <is>
          <t>Key rules (already locked in Target Data Model v1.1)</t>
        </is>
      </c>
    </row>
    <row r="27">
      <c r="A27" s="3" t="inlineStr">
        <is>
          <t>• amount_net is authoritative for cash-flow, Burndown, and living-expense projections.</t>
        </is>
      </c>
    </row>
    <row r="28">
      <c r="A28" s="3" t="inlineStr">
        <is>
          <t>• Gross + withholdings retained for tax views and Form 1099 reconciliation.</t>
        </is>
      </c>
    </row>
    <row r="29">
      <c r="A29" s="3" t="inlineStr">
        <is>
          <t>• SSA: always record payee (Tom or Barb). Create separate rows when both receive payments so subtotals are natural.</t>
        </is>
      </c>
    </row>
    <row r="30">
      <c r="A30" s="3" t="inlineStr">
        <is>
          <t>• Health Withdrawal defaults to medical purpose (HSA eligible). No extra purpose field required for v1.</t>
        </is>
      </c>
    </row>
    <row r="31">
      <c r="A31" s="3" t="inlineStr">
        <is>
          <t>• IRA_Distribution on Income (or Speculation) is both taxable income roll-up AND the typical living-expense funding source.</t>
        </is>
      </c>
    </row>
    <row r="32">
      <c r="A32" s="3" t="inlineStr">
        <is>
          <t>• Withdrawal on Car is brokerage cash-out (counts in brokerage-withdrawals roll-up).</t>
        </is>
      </c>
    </row>
    <row r="33">
      <c r="A33" s="3" t="inlineStr">
        <is>
          <t>• Contribution is NOT recorded here (external inflow only; separate if needed later).</t>
        </is>
      </c>
    </row>
    <row r="34"/>
    <row r="35">
      <c r="A35" s="2" t="inlineStr">
        <is>
          <t>Account normalization</t>
        </is>
      </c>
    </row>
    <row r="36">
      <c r="A36" s="3" t="inlineStr">
        <is>
          <t>Use the same names as Template_Accounts: FI Roth (not Roth), 9 (Schwab), ENERGYX, etc.</t>
        </is>
      </c>
    </row>
    <row r="37"/>
    <row r="38">
      <c r="A38" s="2" t="inlineStr">
        <is>
          <t>What is intentionally NOT in this template</t>
        </is>
      </c>
    </row>
    <row r="39">
      <c r="A39" s="3" t="inlineStr">
        <is>
          <t>• YIELD / dividends / money-market interest  → Template_Transactions_Yield</t>
        </is>
      </c>
    </row>
    <row r="40">
      <c r="A40" s="3" t="inlineStr">
        <is>
          <t>• Buys, sells, options, lot sales            → future Trade template or Lots adjustments</t>
        </is>
      </c>
    </row>
    <row r="41">
      <c r="A41" s="3" t="inlineStr">
        <is>
          <t>• Planned income numbers                     → derived from Position.current_plan + Lots</t>
        </is>
      </c>
    </row>
    <row r="42"/>
    <row r="43">
      <c r="A43" s="2" t="inlineStr">
        <is>
          <t>How to populate</t>
        </is>
      </c>
    </row>
    <row r="44">
      <c r="A44" s="3" t="inlineStr">
        <is>
          <t>1. Extract weekly or transaction-level disbursement rows from Trends / Fidelity activity.</t>
        </is>
      </c>
    </row>
    <row r="45">
      <c r="A45" s="3" t="inlineStr">
        <is>
          <t>2. Map to the columns above. Set payee for every SSA row.</t>
        </is>
      </c>
    </row>
    <row r="46">
      <c r="A46" s="3" t="inlineStr">
        <is>
          <t>3. Leave amount_net as the Excel formula; do not hard-code net unless you have a reason.</t>
        </is>
      </c>
    </row>
    <row r="47">
      <c r="A47" s="3" t="inlineStr">
        <is>
          <t>4. Blue text = user-entered facts. Orange header = required field.</t>
        </is>
      </c>
    </row>
    <row r="48">
      <c r="A48" s="3" t="inlineStr">
        <is>
          <t>5. Delete the green example rows before production load.</t>
        </is>
      </c>
    </row>
    <row r="49"/>
    <row r="50">
      <c r="A50" s="2" t="inlineStr">
        <is>
          <t>Relationship to Burndown &amp; roll-ups</t>
        </is>
      </c>
    </row>
    <row r="51">
      <c r="A51" s="3" t="inlineStr">
        <is>
          <t>Burndown disbursements(week, account) = SUM(amount_net) where txn_type in (Withdrawal, IRA_Distribution) for that account/week.</t>
        </is>
      </c>
    </row>
    <row r="52">
      <c r="A52" s="3" t="inlineStr">
        <is>
          <t>Actual income side also includes SSA + Form_1099 + net distributions as appropriate.</t>
        </is>
      </c>
    </row>
    <row r="53">
      <c r="A53" s="3" t="inlineStr">
        <is>
          <t>Income Category Roll-ups (any date range):</t>
        </is>
      </c>
    </row>
    <row r="54">
      <c r="A54" s="3" t="inlineStr">
        <is>
          <t xml:space="preserve">  IRA distributions = SUM IRA_Distribution (optionally subtotal by account)</t>
        </is>
      </c>
    </row>
    <row r="55">
      <c r="A55" s="3" t="inlineStr">
        <is>
          <t xml:space="preserve">  SSA total + Tom + Barb = SUM SSA grouped by payee</t>
        </is>
      </c>
    </row>
    <row r="56">
      <c r="A56" s="3" t="inlineStr">
        <is>
          <t xml:space="preserve">  Brokerage withdrawals = SUM Withdrawal on taxable accounts (esp. Car)</t>
        </is>
      </c>
    </row>
    <row r="57">
      <c r="A57" s="3" t="inlineStr">
        <is>
          <t xml:space="preserve">  1099 other = SUM Form_1099</t>
        </is>
      </c>
    </row>
    <row r="58"/>
    <row r="59">
      <c r="A59" s="2" t="inlineStr">
        <is>
          <t>Status 4 Aug 2026</t>
        </is>
      </c>
    </row>
    <row r="60">
      <c r="A60" s="3" t="inlineStr">
        <is>
          <t>Template created empty of historical rows. Ready for user Trends extract or manual entry.</t>
        </is>
      </c>
    </row>
    <row r="61">
      <c r="A61" s="3" t="inlineStr">
        <is>
          <t>Do not re-open locked ROC / cash_symbol / broker_account_number decisions.</t>
        </is>
      </c>
    </row>
    <row r="62"/>
    <row r="63">
      <c r="A63" s="17" t="inlineStr">
        <is>
          <t>LOADED 5 Aug 2026 from 2026aug5trends.xlsx — 116 rows (2025–2026). Mapping: U=net Income IRA; gross=U+V+W; SSA Tom/Barb full month; AB=Acct9 IRA; AC=Car Withdrawal; AA=Roth. No Health/HSA on this source. Example rows removed. Confirmed with user A–E.</t>
        </is>
      </c>
    </row>
    <row r="64"/>
    <row r="65">
      <c r="A65" s="17" t="inlineStr">
        <is>
          <t>UPDATED 5 Aug 2026: Added 13 Form_1099 rows for WPD company 1099 income (weekly from Trends col X + user final $1000). 2026 WPD total $14,625. Total Disbursement rows now 129.</t>
        </is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3" customWidth="1" min="4" max="4"/>
    <col width="15" customWidth="1" min="5" max="5"/>
    <col width="16" customWidth="1" min="6" max="6"/>
    <col width="12" customWidth="1" min="7" max="7"/>
    <col width="10" customWidth="1" min="8" max="8"/>
    <col width="14" customWidth="1" min="9" max="9"/>
    <col width="28" customWidth="1" min="10" max="10"/>
    <col width="11" customWidth="1" min="11" max="11"/>
    <col width="18" customWidth="1" min="12" max="12"/>
    <col width="32" customWidth="1" min="13" max="13"/>
  </cols>
  <sheetData>
    <row r="1" ht="30" customHeight="1">
      <c r="A1" s="4" t="inlineStr">
        <is>
          <t>account_name</t>
        </is>
      </c>
      <c r="B1" s="4" t="inlineStr">
        <is>
          <t>txn_date</t>
        </is>
      </c>
      <c r="C1" s="4" t="inlineStr">
        <is>
          <t>txn_type</t>
        </is>
      </c>
      <c r="D1" s="4" t="inlineStr">
        <is>
          <t>amount_gross</t>
        </is>
      </c>
      <c r="E1" s="5" t="inlineStr">
        <is>
          <t>fed_tax_withheld</t>
        </is>
      </c>
      <c r="F1" s="5" t="inlineStr">
        <is>
          <t>state_tax_withheld</t>
        </is>
      </c>
      <c r="G1" s="5" t="inlineStr">
        <is>
          <t>amount_net</t>
        </is>
      </c>
      <c r="H1" s="5" t="inlineStr">
        <is>
          <t>payee</t>
        </is>
      </c>
      <c r="I1" s="5" t="inlineStr">
        <is>
          <t>purpose</t>
        </is>
      </c>
      <c r="J1" s="5" t="inlineStr">
        <is>
          <t>source_notes</t>
        </is>
      </c>
      <c r="K1" s="5" t="inlineStr">
        <is>
          <t>source_year</t>
        </is>
      </c>
      <c r="L1" s="5" t="inlineStr">
        <is>
          <t>source_ref</t>
        </is>
      </c>
      <c r="M1" s="5" t="inlineStr">
        <is>
          <t>notes</t>
        </is>
      </c>
    </row>
    <row r="2">
      <c r="A2" s="18" t="inlineStr">
        <is>
          <t>Income</t>
        </is>
      </c>
      <c r="B2" s="19" t="n">
        <v>45667</v>
      </c>
      <c r="C2" s="18" t="inlineStr">
        <is>
          <t>IRA_Distribution</t>
        </is>
      </c>
      <c r="D2" s="20" t="n">
        <v>5000</v>
      </c>
      <c r="E2" s="20" t="n">
        <v>0</v>
      </c>
      <c r="F2" s="20" t="n">
        <v>0</v>
      </c>
      <c r="G2" s="21">
        <f>D2-E2-F2</f>
        <v/>
      </c>
      <c r="H2" s="18" t="n"/>
      <c r="I2" s="18" t="n"/>
      <c r="J2" s="18" t="inlineStr">
        <is>
          <t>Income Acct Disbursement (net in Trends U)</t>
        </is>
      </c>
      <c r="K2" s="18" t="n">
        <v>2025</v>
      </c>
      <c r="L2" s="18" t="inlineStr">
        <is>
          <t>Trends R30 2025-01-10</t>
        </is>
      </c>
      <c r="M2" s="18" t="n"/>
    </row>
    <row r="3">
      <c r="A3" s="18" t="inlineStr">
        <is>
          <t>Car</t>
        </is>
      </c>
      <c r="B3" s="19" t="n">
        <v>45667</v>
      </c>
      <c r="C3" s="18" t="inlineStr">
        <is>
          <t>Withdrawal</t>
        </is>
      </c>
      <c r="D3" s="20" t="n">
        <v>900</v>
      </c>
      <c r="E3" s="20" t="n">
        <v>0</v>
      </c>
      <c r="F3" s="20" t="n">
        <v>0</v>
      </c>
      <c r="G3" s="21">
        <f>D3-E3-F3</f>
        <v/>
      </c>
      <c r="H3" s="18" t="n"/>
      <c r="I3" s="18" t="n"/>
      <c r="J3" s="18" t="inlineStr">
        <is>
          <t>Car account withdrawal (Trends AC)</t>
        </is>
      </c>
      <c r="K3" s="18" t="n">
        <v>2025</v>
      </c>
      <c r="L3" s="18" t="inlineStr">
        <is>
          <t>Trends R30 2025-01-10</t>
        </is>
      </c>
      <c r="M3" s="18" t="n"/>
    </row>
    <row r="4">
      <c r="A4" s="18" t="inlineStr">
        <is>
          <t>9</t>
        </is>
      </c>
      <c r="B4" s="19" t="n">
        <v>45674</v>
      </c>
      <c r="C4" s="18" t="inlineStr">
        <is>
          <t>IRA_Distribution</t>
        </is>
      </c>
      <c r="D4" s="20" t="n">
        <v>1500</v>
      </c>
      <c r="E4" s="20" t="n">
        <v>0</v>
      </c>
      <c r="F4" s="20" t="n">
        <v>0</v>
      </c>
      <c r="G4" s="21">
        <f>D4-E4-F4</f>
        <v/>
      </c>
      <c r="H4" s="18" t="n"/>
      <c r="I4" s="18" t="n"/>
      <c r="J4" s="18" t="inlineStr">
        <is>
          <t>Acct 9 IRA distribution (Trends AB)</t>
        </is>
      </c>
      <c r="K4" s="18" t="n">
        <v>2025</v>
      </c>
      <c r="L4" s="18" t="inlineStr">
        <is>
          <t>Trends R31 2025-01-17</t>
        </is>
      </c>
      <c r="M4" s="18" t="n"/>
    </row>
    <row r="5">
      <c r="A5" s="18" t="inlineStr">
        <is>
          <t>Income</t>
        </is>
      </c>
      <c r="B5" s="19" t="n">
        <v>45695</v>
      </c>
      <c r="C5" s="18" t="inlineStr">
        <is>
          <t>IRA_Distribution</t>
        </is>
      </c>
      <c r="D5" s="20" t="n">
        <v>5000</v>
      </c>
      <c r="E5" s="20" t="n">
        <v>0</v>
      </c>
      <c r="F5" s="20" t="n">
        <v>0</v>
      </c>
      <c r="G5" s="21">
        <f>D5-E5-F5</f>
        <v/>
      </c>
      <c r="H5" s="18" t="n"/>
      <c r="I5" s="18" t="n"/>
      <c r="J5" s="18" t="inlineStr">
        <is>
          <t>Income Acct Disbursement (net in Trends U)</t>
        </is>
      </c>
      <c r="K5" s="18" t="n">
        <v>2025</v>
      </c>
      <c r="L5" s="18" t="inlineStr">
        <is>
          <t>Trends R34 2025-02-07</t>
        </is>
      </c>
      <c r="M5" s="18" t="n"/>
    </row>
    <row r="6">
      <c r="A6" s="18" t="inlineStr">
        <is>
          <t>9</t>
        </is>
      </c>
      <c r="B6" s="19" t="n">
        <v>45702</v>
      </c>
      <c r="C6" s="18" t="inlineStr">
        <is>
          <t>IRA_Distribution</t>
        </is>
      </c>
      <c r="D6" s="20" t="n">
        <v>1500</v>
      </c>
      <c r="E6" s="20" t="n">
        <v>0</v>
      </c>
      <c r="F6" s="20" t="n">
        <v>0</v>
      </c>
      <c r="G6" s="21">
        <f>D6-E6-F6</f>
        <v/>
      </c>
      <c r="H6" s="18" t="n"/>
      <c r="I6" s="18" t="n"/>
      <c r="J6" s="18" t="inlineStr">
        <is>
          <t>Acct 9 IRA distribution (Trends AB)</t>
        </is>
      </c>
      <c r="K6" s="18" t="n">
        <v>2025</v>
      </c>
      <c r="L6" s="18" t="inlineStr">
        <is>
          <t>Trends R35 2025-02-14</t>
        </is>
      </c>
      <c r="M6" s="18" t="n"/>
    </row>
    <row r="7">
      <c r="A7" s="18" t="inlineStr">
        <is>
          <t>Car</t>
        </is>
      </c>
      <c r="B7" s="19" t="n">
        <v>45702</v>
      </c>
      <c r="C7" s="18" t="inlineStr">
        <is>
          <t>Withdrawal</t>
        </is>
      </c>
      <c r="D7" s="20" t="n">
        <v>900</v>
      </c>
      <c r="E7" s="20" t="n">
        <v>0</v>
      </c>
      <c r="F7" s="20" t="n">
        <v>0</v>
      </c>
      <c r="G7" s="21">
        <f>D7-E7-F7</f>
        <v/>
      </c>
      <c r="H7" s="18" t="n"/>
      <c r="I7" s="18" t="n"/>
      <c r="J7" s="18" t="inlineStr">
        <is>
          <t>Car account withdrawal (Trends AC)</t>
        </is>
      </c>
      <c r="K7" s="18" t="n">
        <v>2025</v>
      </c>
      <c r="L7" s="18" t="inlineStr">
        <is>
          <t>Trends R35 2025-02-14</t>
        </is>
      </c>
      <c r="M7" s="18" t="n"/>
    </row>
    <row r="8">
      <c r="A8" s="18" t="inlineStr">
        <is>
          <t>Income</t>
        </is>
      </c>
      <c r="B8" s="19" t="n">
        <v>45723</v>
      </c>
      <c r="C8" s="18" t="inlineStr">
        <is>
          <t>IRA_Distribution</t>
        </is>
      </c>
      <c r="D8" s="20" t="n">
        <v>5000</v>
      </c>
      <c r="E8" s="20" t="n">
        <v>0</v>
      </c>
      <c r="F8" s="20" t="n">
        <v>0</v>
      </c>
      <c r="G8" s="21">
        <f>D8-E8-F8</f>
        <v/>
      </c>
      <c r="H8" s="18" t="n"/>
      <c r="I8" s="18" t="n"/>
      <c r="J8" s="18" t="inlineStr">
        <is>
          <t>Income Acct Disbursement (net in Trends U)</t>
        </is>
      </c>
      <c r="K8" s="18" t="n">
        <v>2025</v>
      </c>
      <c r="L8" s="18" t="inlineStr">
        <is>
          <t>Trends R38 2025-03-07</t>
        </is>
      </c>
      <c r="M8" s="18" t="n"/>
    </row>
    <row r="9">
      <c r="A9" s="18" t="inlineStr">
        <is>
          <t>Car</t>
        </is>
      </c>
      <c r="B9" s="19" t="n">
        <v>45730</v>
      </c>
      <c r="C9" s="18" t="inlineStr">
        <is>
          <t>Withdrawal</t>
        </is>
      </c>
      <c r="D9" s="20" t="n">
        <v>533</v>
      </c>
      <c r="E9" s="20" t="n">
        <v>0</v>
      </c>
      <c r="F9" s="20" t="n">
        <v>0</v>
      </c>
      <c r="G9" s="21">
        <f>D9-E9-F9</f>
        <v/>
      </c>
      <c r="H9" s="18" t="n"/>
      <c r="I9" s="18" t="n"/>
      <c r="J9" s="18" t="inlineStr">
        <is>
          <t>Car account withdrawal (Trends AC)</t>
        </is>
      </c>
      <c r="K9" s="18" t="n">
        <v>2025</v>
      </c>
      <c r="L9" s="18" t="inlineStr">
        <is>
          <t>Trends R39 2025-03-14</t>
        </is>
      </c>
      <c r="M9" s="18" t="n"/>
    </row>
    <row r="10">
      <c r="A10" s="18" t="inlineStr">
        <is>
          <t>Income</t>
        </is>
      </c>
      <c r="B10" s="19" t="n">
        <v>45751</v>
      </c>
      <c r="C10" s="18" t="inlineStr">
        <is>
          <t>IRA_Distribution</t>
        </is>
      </c>
      <c r="D10" s="20" t="n">
        <v>1250</v>
      </c>
      <c r="E10" s="20" t="n">
        <v>0</v>
      </c>
      <c r="F10" s="20" t="n">
        <v>0</v>
      </c>
      <c r="G10" s="21">
        <f>D10-E10-F10</f>
        <v/>
      </c>
      <c r="H10" s="18" t="n"/>
      <c r="I10" s="18" t="n"/>
      <c r="J10" s="18" t="inlineStr">
        <is>
          <t>Income Acct Disbursement (net in Trends U)</t>
        </is>
      </c>
      <c r="K10" s="18" t="n">
        <v>2025</v>
      </c>
      <c r="L10" s="18" t="inlineStr">
        <is>
          <t>Trends R42 2025-04-04</t>
        </is>
      </c>
      <c r="M10" s="18" t="n"/>
    </row>
    <row r="11">
      <c r="A11" s="18" t="inlineStr">
        <is>
          <t>9</t>
        </is>
      </c>
      <c r="B11" s="19" t="n">
        <v>45758</v>
      </c>
      <c r="C11" s="18" t="inlineStr">
        <is>
          <t>IRA_Distribution</t>
        </is>
      </c>
      <c r="D11" s="20" t="n">
        <v>545</v>
      </c>
      <c r="E11" s="20" t="n">
        <v>0</v>
      </c>
      <c r="F11" s="20" t="n">
        <v>0</v>
      </c>
      <c r="G11" s="21">
        <f>D11-E11-F11</f>
        <v/>
      </c>
      <c r="H11" s="18" t="n"/>
      <c r="I11" s="18" t="n"/>
      <c r="J11" s="18" t="inlineStr">
        <is>
          <t>Acct 9 IRA distribution (Trends AB)</t>
        </is>
      </c>
      <c r="K11" s="18" t="n">
        <v>2025</v>
      </c>
      <c r="L11" s="18" t="inlineStr">
        <is>
          <t>Trends R43 2025-04-11</t>
        </is>
      </c>
      <c r="M11" s="18" t="n"/>
    </row>
    <row r="12">
      <c r="A12" s="18" t="inlineStr">
        <is>
          <t>Car</t>
        </is>
      </c>
      <c r="B12" s="19" t="n">
        <v>45758</v>
      </c>
      <c r="C12" s="18" t="inlineStr">
        <is>
          <t>Withdrawal</t>
        </is>
      </c>
      <c r="D12" s="20" t="n">
        <v>535</v>
      </c>
      <c r="E12" s="20" t="n">
        <v>0</v>
      </c>
      <c r="F12" s="20" t="n">
        <v>0</v>
      </c>
      <c r="G12" s="21">
        <f>D12-E12-F12</f>
        <v/>
      </c>
      <c r="H12" s="18" t="n"/>
      <c r="I12" s="18" t="n"/>
      <c r="J12" s="18" t="inlineStr">
        <is>
          <t>Car account withdrawal (Trends AC)</t>
        </is>
      </c>
      <c r="K12" s="18" t="n">
        <v>2025</v>
      </c>
      <c r="L12" s="18" t="inlineStr">
        <is>
          <t>Trends R43 2025-04-11</t>
        </is>
      </c>
      <c r="M12" s="18" t="n"/>
    </row>
    <row r="13">
      <c r="A13" s="18" t="inlineStr">
        <is>
          <t>Income</t>
        </is>
      </c>
      <c r="B13" s="19" t="n">
        <v>45765</v>
      </c>
      <c r="C13" s="18" t="inlineStr">
        <is>
          <t>IRA_Distribution</t>
        </is>
      </c>
      <c r="D13" s="20" t="n">
        <v>1250</v>
      </c>
      <c r="E13" s="20" t="n">
        <v>0</v>
      </c>
      <c r="F13" s="20" t="n">
        <v>0</v>
      </c>
      <c r="G13" s="21">
        <f>D13-E13-F13</f>
        <v/>
      </c>
      <c r="H13" s="18" t="n"/>
      <c r="I13" s="18" t="n"/>
      <c r="J13" s="18" t="inlineStr">
        <is>
          <t>Income Acct Disbursement (net in Trends U)</t>
        </is>
      </c>
      <c r="K13" s="18" t="n">
        <v>2025</v>
      </c>
      <c r="L13" s="18" t="inlineStr">
        <is>
          <t>Trends R44 2025-04-18</t>
        </is>
      </c>
      <c r="M13" s="18" t="n"/>
    </row>
    <row r="14">
      <c r="A14" s="18" t="inlineStr">
        <is>
          <t>Income</t>
        </is>
      </c>
      <c r="B14" s="19" t="n">
        <v>45772</v>
      </c>
      <c r="C14" s="18" t="inlineStr">
        <is>
          <t>IRA_Distribution</t>
        </is>
      </c>
      <c r="D14" s="20" t="n">
        <v>1399.85</v>
      </c>
      <c r="E14" s="20" t="n">
        <v>153.85</v>
      </c>
      <c r="F14" s="20" t="n">
        <v>98</v>
      </c>
      <c r="G14" s="21">
        <f>D14-E14-F14</f>
        <v/>
      </c>
      <c r="H14" s="18" t="n"/>
      <c r="I14" s="18" t="n"/>
      <c r="J14" s="18" t="inlineStr">
        <is>
          <t>Income Acct Disbursement (net in Trends U)</t>
        </is>
      </c>
      <c r="K14" s="18" t="n">
        <v>2025</v>
      </c>
      <c r="L14" s="18" t="inlineStr">
        <is>
          <t>Trends R45 2025-04-25</t>
        </is>
      </c>
      <c r="M14" s="18" t="n"/>
    </row>
    <row r="15">
      <c r="A15" s="18" t="inlineStr">
        <is>
          <t>Income</t>
        </is>
      </c>
      <c r="B15" s="19" t="n">
        <v>45779</v>
      </c>
      <c r="C15" s="18" t="inlineStr">
        <is>
          <t>IRA_Distribution</t>
        </is>
      </c>
      <c r="D15" s="20" t="n">
        <v>2800</v>
      </c>
      <c r="E15" s="20" t="n">
        <v>308</v>
      </c>
      <c r="F15" s="20" t="n">
        <v>196</v>
      </c>
      <c r="G15" s="21">
        <f>D15-E15-F15</f>
        <v/>
      </c>
      <c r="H15" s="18" t="n"/>
      <c r="I15" s="18" t="n"/>
      <c r="J15" s="18" t="inlineStr">
        <is>
          <t>Income Acct Disbursement (net in Trends U)</t>
        </is>
      </c>
      <c r="K15" s="18" t="n">
        <v>2025</v>
      </c>
      <c r="L15" s="18" t="inlineStr">
        <is>
          <t>Trends R46 2025-05-02</t>
        </is>
      </c>
      <c r="M15" s="18" t="n"/>
    </row>
    <row r="16">
      <c r="A16" s="18" t="inlineStr">
        <is>
          <t>9</t>
        </is>
      </c>
      <c r="B16" s="19" t="n">
        <v>45779</v>
      </c>
      <c r="C16" s="18" t="inlineStr">
        <is>
          <t>IRA_Distribution</t>
        </is>
      </c>
      <c r="D16" s="20" t="n">
        <v>1300</v>
      </c>
      <c r="E16" s="20" t="n">
        <v>0</v>
      </c>
      <c r="F16" s="20" t="n">
        <v>0</v>
      </c>
      <c r="G16" s="21">
        <f>D16-E16-F16</f>
        <v/>
      </c>
      <c r="H16" s="18" t="n"/>
      <c r="I16" s="18" t="n"/>
      <c r="J16" s="18" t="inlineStr">
        <is>
          <t>Acct 9 IRA distribution (Trends AB)</t>
        </is>
      </c>
      <c r="K16" s="18" t="n">
        <v>2025</v>
      </c>
      <c r="L16" s="18" t="inlineStr">
        <is>
          <t>Trends R46 2025-05-02</t>
        </is>
      </c>
      <c r="M16" s="18" t="n"/>
    </row>
    <row r="17">
      <c r="A17" s="18" t="inlineStr">
        <is>
          <t>9</t>
        </is>
      </c>
      <c r="B17" s="19" t="n">
        <v>45786</v>
      </c>
      <c r="C17" s="18" t="inlineStr">
        <is>
          <t>IRA_Distribution</t>
        </is>
      </c>
      <c r="D17" s="20" t="n">
        <v>1498.1</v>
      </c>
      <c r="E17" s="20" t="n">
        <v>0</v>
      </c>
      <c r="F17" s="20" t="n">
        <v>0</v>
      </c>
      <c r="G17" s="21">
        <f>D17-E17-F17</f>
        <v/>
      </c>
      <c r="H17" s="18" t="n"/>
      <c r="I17" s="18" t="n"/>
      <c r="J17" s="18" t="inlineStr">
        <is>
          <t>Acct 9 IRA distribution (Trends AB)</t>
        </is>
      </c>
      <c r="K17" s="18" t="n">
        <v>2025</v>
      </c>
      <c r="L17" s="18" t="inlineStr">
        <is>
          <t>Trends R47 2025-05-09</t>
        </is>
      </c>
      <c r="M17" s="18" t="n"/>
    </row>
    <row r="18">
      <c r="A18" s="18" t="inlineStr">
        <is>
          <t>Income</t>
        </is>
      </c>
      <c r="B18" s="19" t="n">
        <v>45793</v>
      </c>
      <c r="C18" s="18" t="inlineStr">
        <is>
          <t>IRA_Distribution</t>
        </is>
      </c>
      <c r="D18" s="20" t="n">
        <v>1400</v>
      </c>
      <c r="E18" s="20" t="n">
        <v>154</v>
      </c>
      <c r="F18" s="20" t="n">
        <v>98</v>
      </c>
      <c r="G18" s="21">
        <f>D18-E18-F18</f>
        <v/>
      </c>
      <c r="H18" s="18" t="n"/>
      <c r="I18" s="18" t="n"/>
      <c r="J18" s="18" t="inlineStr">
        <is>
          <t>Income Acct Disbursement (net in Trends U)</t>
        </is>
      </c>
      <c r="K18" s="18" t="n">
        <v>2025</v>
      </c>
      <c r="L18" s="18" t="inlineStr">
        <is>
          <t>Trends R48 2025-05-16</t>
        </is>
      </c>
      <c r="M18" s="18" t="n"/>
    </row>
    <row r="19">
      <c r="A19" s="18" t="inlineStr">
        <is>
          <t>Car</t>
        </is>
      </c>
      <c r="B19" s="19" t="n">
        <v>45793</v>
      </c>
      <c r="C19" s="18" t="inlineStr">
        <is>
          <t>Withdrawal</t>
        </is>
      </c>
      <c r="D19" s="20" t="n">
        <v>575</v>
      </c>
      <c r="E19" s="20" t="n">
        <v>0</v>
      </c>
      <c r="F19" s="20" t="n">
        <v>0</v>
      </c>
      <c r="G19" s="21">
        <f>D19-E19-F19</f>
        <v/>
      </c>
      <c r="H19" s="18" t="n"/>
      <c r="I19" s="18" t="n"/>
      <c r="J19" s="18" t="inlineStr">
        <is>
          <t>Car account withdrawal (Trends AC)</t>
        </is>
      </c>
      <c r="K19" s="18" t="n">
        <v>2025</v>
      </c>
      <c r="L19" s="18" t="inlineStr">
        <is>
          <t>Trends R48 2025-05-16</t>
        </is>
      </c>
      <c r="M19" s="18" t="n"/>
    </row>
    <row r="20">
      <c r="A20" s="18" t="inlineStr">
        <is>
          <t>Income</t>
        </is>
      </c>
      <c r="B20" s="19" t="n">
        <v>45800</v>
      </c>
      <c r="C20" s="18" t="inlineStr">
        <is>
          <t>IRA_Distribution</t>
        </is>
      </c>
      <c r="D20" s="20" t="n">
        <v>1400</v>
      </c>
      <c r="E20" s="20" t="n">
        <v>154</v>
      </c>
      <c r="F20" s="20" t="n">
        <v>98</v>
      </c>
      <c r="G20" s="21">
        <f>D20-E20-F20</f>
        <v/>
      </c>
      <c r="H20" s="18" t="n"/>
      <c r="I20" s="18" t="n"/>
      <c r="J20" s="18" t="inlineStr">
        <is>
          <t>Income Acct Disbursement (net in Trends U)</t>
        </is>
      </c>
      <c r="K20" s="18" t="n">
        <v>2025</v>
      </c>
      <c r="L20" s="18" t="inlineStr">
        <is>
          <t>Trends R49 2025-05-23</t>
        </is>
      </c>
      <c r="M20" s="18" t="n"/>
    </row>
    <row r="21">
      <c r="A21" s="18" t="inlineStr">
        <is>
          <t>Income</t>
        </is>
      </c>
      <c r="B21" s="19" t="n">
        <v>45807</v>
      </c>
      <c r="C21" s="18" t="inlineStr">
        <is>
          <t>IRA_Distribution</t>
        </is>
      </c>
      <c r="D21" s="20" t="n">
        <v>1400</v>
      </c>
      <c r="E21" s="20" t="n">
        <v>154</v>
      </c>
      <c r="F21" s="20" t="n">
        <v>98</v>
      </c>
      <c r="G21" s="21">
        <f>D21-E21-F21</f>
        <v/>
      </c>
      <c r="H21" s="18" t="n"/>
      <c r="I21" s="18" t="n"/>
      <c r="J21" s="18" t="inlineStr">
        <is>
          <t>Income Acct Disbursement (net in Trends U)</t>
        </is>
      </c>
      <c r="K21" s="18" t="n">
        <v>2025</v>
      </c>
      <c r="L21" s="18" t="inlineStr">
        <is>
          <t>Trends R50 2025-05-30</t>
        </is>
      </c>
      <c r="M21" s="18" t="n"/>
    </row>
    <row r="22">
      <c r="A22" s="18" t="inlineStr">
        <is>
          <t>Income</t>
        </is>
      </c>
      <c r="B22" s="19" t="n">
        <v>45814</v>
      </c>
      <c r="C22" s="18" t="inlineStr">
        <is>
          <t>IRA_Distribution</t>
        </is>
      </c>
      <c r="D22" s="20" t="n">
        <v>1148</v>
      </c>
      <c r="E22" s="20" t="n">
        <v>0</v>
      </c>
      <c r="F22" s="20" t="n">
        <v>0</v>
      </c>
      <c r="G22" s="21">
        <f>D22-E22-F22</f>
        <v/>
      </c>
      <c r="H22" s="18" t="n"/>
      <c r="I22" s="18" t="n"/>
      <c r="J22" s="18" t="inlineStr">
        <is>
          <t>Income Acct Disbursement (net in Trends U)</t>
        </is>
      </c>
      <c r="K22" s="18" t="n">
        <v>2025</v>
      </c>
      <c r="L22" s="18" t="inlineStr">
        <is>
          <t>Trends R51 2025-06-06</t>
        </is>
      </c>
      <c r="M22" s="18" t="n"/>
    </row>
    <row r="23">
      <c r="A23" s="18" t="inlineStr">
        <is>
          <t>9</t>
        </is>
      </c>
      <c r="B23" s="19" t="n">
        <v>45814</v>
      </c>
      <c r="C23" s="18" t="inlineStr">
        <is>
          <t>IRA_Distribution</t>
        </is>
      </c>
      <c r="D23" s="20" t="n">
        <v>1600</v>
      </c>
      <c r="E23" s="20" t="n">
        <v>0</v>
      </c>
      <c r="F23" s="20" t="n">
        <v>0</v>
      </c>
      <c r="G23" s="21">
        <f>D23-E23-F23</f>
        <v/>
      </c>
      <c r="H23" s="18" t="n"/>
      <c r="I23" s="18" t="n"/>
      <c r="J23" s="18" t="inlineStr">
        <is>
          <t>Acct 9 IRA distribution (Trends AB)</t>
        </is>
      </c>
      <c r="K23" s="18" t="n">
        <v>2025</v>
      </c>
      <c r="L23" s="18" t="inlineStr">
        <is>
          <t>Trends R51 2025-06-06</t>
        </is>
      </c>
      <c r="M23" s="18" t="n"/>
    </row>
    <row r="24">
      <c r="A24" s="18" t="inlineStr">
        <is>
          <t>Income</t>
        </is>
      </c>
      <c r="B24" s="19" t="n">
        <v>45821</v>
      </c>
      <c r="C24" s="18" t="inlineStr">
        <is>
          <t>IRA_Distribution</t>
        </is>
      </c>
      <c r="D24" s="20" t="n">
        <v>1148</v>
      </c>
      <c r="E24" s="20" t="n">
        <v>0</v>
      </c>
      <c r="F24" s="20" t="n">
        <v>0</v>
      </c>
      <c r="G24" s="21">
        <f>D24-E24-F24</f>
        <v/>
      </c>
      <c r="H24" s="18" t="n"/>
      <c r="I24" s="18" t="n"/>
      <c r="J24" s="18" t="inlineStr">
        <is>
          <t>Income Acct Disbursement (net in Trends U)</t>
        </is>
      </c>
      <c r="K24" s="18" t="n">
        <v>2025</v>
      </c>
      <c r="L24" s="18" t="inlineStr">
        <is>
          <t>Trends R52 2025-06-13</t>
        </is>
      </c>
      <c r="M24" s="18" t="n"/>
    </row>
    <row r="25">
      <c r="A25" s="18" t="inlineStr">
        <is>
          <t>Car</t>
        </is>
      </c>
      <c r="B25" s="19" t="n">
        <v>45821</v>
      </c>
      <c r="C25" s="18" t="inlineStr">
        <is>
          <t>Withdrawal</t>
        </is>
      </c>
      <c r="D25" s="20" t="n">
        <v>680</v>
      </c>
      <c r="E25" s="20" t="n">
        <v>0</v>
      </c>
      <c r="F25" s="20" t="n">
        <v>0</v>
      </c>
      <c r="G25" s="21">
        <f>D25-E25-F25</f>
        <v/>
      </c>
      <c r="H25" s="18" t="n"/>
      <c r="I25" s="18" t="n"/>
      <c r="J25" s="18" t="inlineStr">
        <is>
          <t>Car account withdrawal (Trends AC)</t>
        </is>
      </c>
      <c r="K25" s="18" t="n">
        <v>2025</v>
      </c>
      <c r="L25" s="18" t="inlineStr">
        <is>
          <t>Trends R52 2025-06-13</t>
        </is>
      </c>
      <c r="M25" s="18" t="n"/>
    </row>
    <row r="26">
      <c r="A26" s="18" t="inlineStr">
        <is>
          <t>Income</t>
        </is>
      </c>
      <c r="B26" s="19" t="n">
        <v>45828</v>
      </c>
      <c r="C26" s="18" t="inlineStr">
        <is>
          <t>IRA_Distribution</t>
        </is>
      </c>
      <c r="D26" s="20" t="n">
        <v>1148</v>
      </c>
      <c r="E26" s="20" t="n">
        <v>0</v>
      </c>
      <c r="F26" s="20" t="n">
        <v>0</v>
      </c>
      <c r="G26" s="21">
        <f>D26-E26-F26</f>
        <v/>
      </c>
      <c r="H26" s="18" t="n"/>
      <c r="I26" s="18" t="n"/>
      <c r="J26" s="18" t="inlineStr">
        <is>
          <t>Income Acct Disbursement (net in Trends U)</t>
        </is>
      </c>
      <c r="K26" s="18" t="n">
        <v>2025</v>
      </c>
      <c r="L26" s="18" t="inlineStr">
        <is>
          <t>Trends R53 2025-06-20</t>
        </is>
      </c>
      <c r="M26" s="18" t="n"/>
    </row>
    <row r="27">
      <c r="A27" s="18" t="inlineStr">
        <is>
          <t>Income</t>
        </is>
      </c>
      <c r="B27" s="19" t="n">
        <v>45835</v>
      </c>
      <c r="C27" s="18" t="inlineStr">
        <is>
          <t>IRA_Distribution</t>
        </is>
      </c>
      <c r="D27" s="20" t="n">
        <v>1400</v>
      </c>
      <c r="E27" s="20" t="n">
        <v>0</v>
      </c>
      <c r="F27" s="20" t="n">
        <v>0</v>
      </c>
      <c r="G27" s="21">
        <f>D27-E27-F27</f>
        <v/>
      </c>
      <c r="H27" s="18" t="n"/>
      <c r="I27" s="18" t="n"/>
      <c r="J27" s="18" t="inlineStr">
        <is>
          <t>Income Acct Disbursement (net in Trends U)</t>
        </is>
      </c>
      <c r="K27" s="18" t="n">
        <v>2025</v>
      </c>
      <c r="L27" s="18" t="inlineStr">
        <is>
          <t>Trends R54 2025-06-27</t>
        </is>
      </c>
      <c r="M27" s="18" t="n"/>
    </row>
    <row r="28">
      <c r="A28" s="18" t="inlineStr">
        <is>
          <t>Income</t>
        </is>
      </c>
      <c r="B28" s="19" t="n">
        <v>45842</v>
      </c>
      <c r="C28" s="18" t="inlineStr">
        <is>
          <t>IRA_Distribution</t>
        </is>
      </c>
      <c r="D28" s="20" t="n">
        <v>1400</v>
      </c>
      <c r="E28" s="20" t="n">
        <v>0</v>
      </c>
      <c r="F28" s="20" t="n">
        <v>0</v>
      </c>
      <c r="G28" s="21">
        <f>D28-E28-F28</f>
        <v/>
      </c>
      <c r="H28" s="18" t="n"/>
      <c r="I28" s="18" t="n"/>
      <c r="J28" s="18" t="inlineStr">
        <is>
          <t>Income Acct Disbursement (net in Trends U)</t>
        </is>
      </c>
      <c r="K28" s="18" t="n">
        <v>2025</v>
      </c>
      <c r="L28" s="18" t="inlineStr">
        <is>
          <t>Trends R55 2025-07-04</t>
        </is>
      </c>
      <c r="M28" s="18" t="n"/>
    </row>
    <row r="29">
      <c r="A29" s="18" t="inlineStr">
        <is>
          <t>Income</t>
        </is>
      </c>
      <c r="B29" s="19" t="n">
        <v>45849</v>
      </c>
      <c r="C29" s="18" t="inlineStr">
        <is>
          <t>IRA_Distribution</t>
        </is>
      </c>
      <c r="D29" s="20" t="n">
        <v>1300</v>
      </c>
      <c r="E29" s="20" t="n">
        <v>0</v>
      </c>
      <c r="F29" s="20" t="n">
        <v>0</v>
      </c>
      <c r="G29" s="21">
        <f>D29-E29-F29</f>
        <v/>
      </c>
      <c r="H29" s="18" t="n"/>
      <c r="I29" s="18" t="n"/>
      <c r="J29" s="18" t="inlineStr">
        <is>
          <t>Income Acct Disbursement (net in Trends U)</t>
        </is>
      </c>
      <c r="K29" s="18" t="n">
        <v>2025</v>
      </c>
      <c r="L29" s="18" t="inlineStr">
        <is>
          <t>Trends R56 2025-07-11</t>
        </is>
      </c>
      <c r="M29" s="18" t="n"/>
    </row>
    <row r="30">
      <c r="A30" s="18" t="inlineStr">
        <is>
          <t>9</t>
        </is>
      </c>
      <c r="B30" s="19" t="n">
        <v>45849</v>
      </c>
      <c r="C30" s="18" t="inlineStr">
        <is>
          <t>IRA_Distribution</t>
        </is>
      </c>
      <c r="D30" s="20" t="n">
        <v>3000</v>
      </c>
      <c r="E30" s="20" t="n">
        <v>0</v>
      </c>
      <c r="F30" s="20" t="n">
        <v>0</v>
      </c>
      <c r="G30" s="21">
        <f>D30-E30-F30</f>
        <v/>
      </c>
      <c r="H30" s="18" t="n"/>
      <c r="I30" s="18" t="n"/>
      <c r="J30" s="18" t="inlineStr">
        <is>
          <t>Acct 9 IRA distribution (Trends AB)</t>
        </is>
      </c>
      <c r="K30" s="18" t="n">
        <v>2025</v>
      </c>
      <c r="L30" s="18" t="inlineStr">
        <is>
          <t>Trends R56 2025-07-11</t>
        </is>
      </c>
      <c r="M30" s="18" t="n"/>
    </row>
    <row r="31">
      <c r="A31" s="18" t="inlineStr">
        <is>
          <t>Income</t>
        </is>
      </c>
      <c r="B31" s="19" t="n">
        <v>45856</v>
      </c>
      <c r="C31" s="18" t="inlineStr">
        <is>
          <t>IRA_Distribution</t>
        </is>
      </c>
      <c r="D31" s="20" t="n">
        <v>1050</v>
      </c>
      <c r="E31" s="20" t="n">
        <v>0</v>
      </c>
      <c r="F31" s="20" t="n">
        <v>0</v>
      </c>
      <c r="G31" s="21">
        <f>D31-E31-F31</f>
        <v/>
      </c>
      <c r="H31" s="18" t="n"/>
      <c r="I31" s="18" t="n"/>
      <c r="J31" s="18" t="inlineStr">
        <is>
          <t>Income Acct Disbursement (net in Trends U)</t>
        </is>
      </c>
      <c r="K31" s="18" t="n">
        <v>2025</v>
      </c>
      <c r="L31" s="18" t="inlineStr">
        <is>
          <t>Trends R57 2025-07-18</t>
        </is>
      </c>
      <c r="M31" s="18" t="n"/>
    </row>
    <row r="32">
      <c r="A32" s="18" t="inlineStr">
        <is>
          <t>Car</t>
        </is>
      </c>
      <c r="B32" s="19" t="n">
        <v>45856</v>
      </c>
      <c r="C32" s="18" t="inlineStr">
        <is>
          <t>Withdrawal</t>
        </is>
      </c>
      <c r="D32" s="20" t="n">
        <v>600</v>
      </c>
      <c r="E32" s="20" t="n">
        <v>0</v>
      </c>
      <c r="F32" s="20" t="n">
        <v>0</v>
      </c>
      <c r="G32" s="21">
        <f>D32-E32-F32</f>
        <v/>
      </c>
      <c r="H32" s="18" t="n"/>
      <c r="I32" s="18" t="n"/>
      <c r="J32" s="18" t="inlineStr">
        <is>
          <t>Car account withdrawal (Trends AC)</t>
        </is>
      </c>
      <c r="K32" s="18" t="n">
        <v>2025</v>
      </c>
      <c r="L32" s="18" t="inlineStr">
        <is>
          <t>Trends R57 2025-07-18</t>
        </is>
      </c>
      <c r="M32" s="18" t="n"/>
    </row>
    <row r="33">
      <c r="A33" s="18" t="inlineStr">
        <is>
          <t>Income</t>
        </is>
      </c>
      <c r="B33" s="19" t="n">
        <v>45863</v>
      </c>
      <c r="C33" s="18" t="inlineStr">
        <is>
          <t>IRA_Distribution</t>
        </is>
      </c>
      <c r="D33" s="20" t="n">
        <v>1050</v>
      </c>
      <c r="E33" s="20" t="n">
        <v>0</v>
      </c>
      <c r="F33" s="20" t="n">
        <v>0</v>
      </c>
      <c r="G33" s="21">
        <f>D33-E33-F33</f>
        <v/>
      </c>
      <c r="H33" s="18" t="n"/>
      <c r="I33" s="18" t="n"/>
      <c r="J33" s="18" t="inlineStr">
        <is>
          <t>Income Acct Disbursement (net in Trends U)</t>
        </is>
      </c>
      <c r="K33" s="18" t="n">
        <v>2025</v>
      </c>
      <c r="L33" s="18" t="inlineStr">
        <is>
          <t>Trends R58 2025-07-25</t>
        </is>
      </c>
      <c r="M33" s="18" t="n"/>
    </row>
    <row r="34">
      <c r="A34" s="18" t="inlineStr">
        <is>
          <t>9</t>
        </is>
      </c>
      <c r="B34" s="19" t="n">
        <v>45863</v>
      </c>
      <c r="C34" s="18" t="inlineStr">
        <is>
          <t>IRA_Distribution</t>
        </is>
      </c>
      <c r="D34" s="20" t="n">
        <v>900</v>
      </c>
      <c r="E34" s="20" t="n">
        <v>0</v>
      </c>
      <c r="F34" s="20" t="n">
        <v>0</v>
      </c>
      <c r="G34" s="21">
        <f>D34-E34-F34</f>
        <v/>
      </c>
      <c r="H34" s="18" t="n"/>
      <c r="I34" s="18" t="n"/>
      <c r="J34" s="18" t="inlineStr">
        <is>
          <t>Acct 9 IRA distribution (Trends AB)</t>
        </is>
      </c>
      <c r="K34" s="18" t="n">
        <v>2025</v>
      </c>
      <c r="L34" s="18" t="inlineStr">
        <is>
          <t>Trends R58 2025-07-25</t>
        </is>
      </c>
      <c r="M34" s="18" t="n"/>
    </row>
    <row r="35">
      <c r="A35" s="18" t="inlineStr">
        <is>
          <t>Income</t>
        </is>
      </c>
      <c r="B35" s="19" t="n">
        <v>45870</v>
      </c>
      <c r="C35" s="18" t="inlineStr">
        <is>
          <t>IRA_Distribution</t>
        </is>
      </c>
      <c r="D35" s="20" t="n">
        <v>1230</v>
      </c>
      <c r="E35" s="20" t="n">
        <v>110.7</v>
      </c>
      <c r="F35" s="20" t="n">
        <v>61.5</v>
      </c>
      <c r="G35" s="21">
        <f>D35-E35-F35</f>
        <v/>
      </c>
      <c r="H35" s="18" t="n"/>
      <c r="I35" s="18" t="n"/>
      <c r="J35" s="18" t="inlineStr">
        <is>
          <t>Income Acct Disbursement (net in Trends U)</t>
        </is>
      </c>
      <c r="K35" s="18" t="n">
        <v>2025</v>
      </c>
      <c r="L35" s="18" t="inlineStr">
        <is>
          <t>Trends R59 2025-08-01</t>
        </is>
      </c>
      <c r="M35" s="18" t="n"/>
    </row>
    <row r="36">
      <c r="A36" s="18" t="inlineStr">
        <is>
          <t>Income</t>
        </is>
      </c>
      <c r="B36" s="19" t="n">
        <v>45877</v>
      </c>
      <c r="C36" s="18" t="inlineStr">
        <is>
          <t>IRA_Distribution</t>
        </is>
      </c>
      <c r="D36" s="20" t="n">
        <v>1230</v>
      </c>
      <c r="E36" s="20" t="n">
        <v>110.7</v>
      </c>
      <c r="F36" s="20" t="n">
        <v>61.5</v>
      </c>
      <c r="G36" s="21">
        <f>D36-E36-F36</f>
        <v/>
      </c>
      <c r="H36" s="18" t="n"/>
      <c r="I36" s="18" t="n"/>
      <c r="J36" s="18" t="inlineStr">
        <is>
          <t>Income Acct Disbursement (net in Trends U)</t>
        </is>
      </c>
      <c r="K36" s="18" t="n">
        <v>2025</v>
      </c>
      <c r="L36" s="18" t="inlineStr">
        <is>
          <t>Trends R60 2025-08-08</t>
        </is>
      </c>
      <c r="M36" s="18" t="n"/>
    </row>
    <row r="37">
      <c r="A37" s="18" t="inlineStr">
        <is>
          <t>Income</t>
        </is>
      </c>
      <c r="B37" s="19" t="n">
        <v>45884</v>
      </c>
      <c r="C37" s="18" t="inlineStr">
        <is>
          <t>IRA_Distribution</t>
        </is>
      </c>
      <c r="D37" s="20" t="n">
        <v>1230</v>
      </c>
      <c r="E37" s="20" t="n">
        <v>110.7</v>
      </c>
      <c r="F37" s="20" t="n">
        <v>61.5</v>
      </c>
      <c r="G37" s="21">
        <f>D37-E37-F37</f>
        <v/>
      </c>
      <c r="H37" s="18" t="n"/>
      <c r="I37" s="18" t="n"/>
      <c r="J37" s="18" t="inlineStr">
        <is>
          <t>Income Acct Disbursement (net in Trends U)</t>
        </is>
      </c>
      <c r="K37" s="18" t="n">
        <v>2025</v>
      </c>
      <c r="L37" s="18" t="inlineStr">
        <is>
          <t>Trends R61 2025-08-15</t>
        </is>
      </c>
      <c r="M37" s="18" t="n"/>
    </row>
    <row r="38">
      <c r="A38" s="18" t="inlineStr">
        <is>
          <t>9</t>
        </is>
      </c>
      <c r="B38" s="19" t="n">
        <v>45884</v>
      </c>
      <c r="C38" s="18" t="inlineStr">
        <is>
          <t>IRA_Distribution</t>
        </is>
      </c>
      <c r="D38" s="20" t="n">
        <v>200</v>
      </c>
      <c r="E38" s="20" t="n">
        <v>0</v>
      </c>
      <c r="F38" s="20" t="n">
        <v>0</v>
      </c>
      <c r="G38" s="21">
        <f>D38-E38-F38</f>
        <v/>
      </c>
      <c r="H38" s="18" t="n"/>
      <c r="I38" s="18" t="n"/>
      <c r="J38" s="18" t="inlineStr">
        <is>
          <t>Acct 9 IRA distribution (Trends AB)</t>
        </is>
      </c>
      <c r="K38" s="18" t="n">
        <v>2025</v>
      </c>
      <c r="L38" s="18" t="inlineStr">
        <is>
          <t>Trends R61 2025-08-15</t>
        </is>
      </c>
      <c r="M38" s="18" t="n"/>
    </row>
    <row r="39">
      <c r="A39" s="18" t="inlineStr">
        <is>
          <t>Car</t>
        </is>
      </c>
      <c r="B39" s="19" t="n">
        <v>45884</v>
      </c>
      <c r="C39" s="18" t="inlineStr">
        <is>
          <t>Withdrawal</t>
        </is>
      </c>
      <c r="D39" s="20" t="n">
        <v>580</v>
      </c>
      <c r="E39" s="20" t="n">
        <v>0</v>
      </c>
      <c r="F39" s="20" t="n">
        <v>0</v>
      </c>
      <c r="G39" s="21">
        <f>D39-E39-F39</f>
        <v/>
      </c>
      <c r="H39" s="18" t="n"/>
      <c r="I39" s="18" t="n"/>
      <c r="J39" s="18" t="inlineStr">
        <is>
          <t>Car account withdrawal (Trends AC)</t>
        </is>
      </c>
      <c r="K39" s="18" t="n">
        <v>2025</v>
      </c>
      <c r="L39" s="18" t="inlineStr">
        <is>
          <t>Trends R61 2025-08-15</t>
        </is>
      </c>
      <c r="M39" s="18" t="n"/>
    </row>
    <row r="40">
      <c r="A40" s="18" t="inlineStr">
        <is>
          <t>Income</t>
        </is>
      </c>
      <c r="B40" s="19" t="n">
        <v>45891</v>
      </c>
      <c r="C40" s="18" t="inlineStr">
        <is>
          <t>IRA_Distribution</t>
        </is>
      </c>
      <c r="D40" s="20" t="n">
        <v>1230</v>
      </c>
      <c r="E40" s="20" t="n">
        <v>110.7</v>
      </c>
      <c r="F40" s="20" t="n">
        <v>61.5</v>
      </c>
      <c r="G40" s="21">
        <f>D40-E40-F40</f>
        <v/>
      </c>
      <c r="H40" s="18" t="n"/>
      <c r="I40" s="18" t="n"/>
      <c r="J40" s="18" t="inlineStr">
        <is>
          <t>Income Acct Disbursement (net in Trends U)</t>
        </is>
      </c>
      <c r="K40" s="18" t="n">
        <v>2025</v>
      </c>
      <c r="L40" s="18" t="inlineStr">
        <is>
          <t>Trends R62 2025-08-22</t>
        </is>
      </c>
      <c r="M40" s="18" t="n"/>
    </row>
    <row r="41">
      <c r="A41" s="18" t="inlineStr">
        <is>
          <t>Income</t>
        </is>
      </c>
      <c r="B41" s="19" t="n">
        <v>45898</v>
      </c>
      <c r="C41" s="18" t="inlineStr">
        <is>
          <t>IRA_Distribution</t>
        </is>
      </c>
      <c r="D41" s="20" t="n">
        <v>1230</v>
      </c>
      <c r="E41" s="20" t="n">
        <v>110.7</v>
      </c>
      <c r="F41" s="20" t="n">
        <v>61.5</v>
      </c>
      <c r="G41" s="21">
        <f>D41-E41-F41</f>
        <v/>
      </c>
      <c r="H41" s="18" t="n"/>
      <c r="I41" s="18" t="n"/>
      <c r="J41" s="18" t="inlineStr">
        <is>
          <t>Income Acct Disbursement (net in Trends U)</t>
        </is>
      </c>
      <c r="K41" s="18" t="n">
        <v>2025</v>
      </c>
      <c r="L41" s="18" t="inlineStr">
        <is>
          <t>Trends R63 2025-08-29</t>
        </is>
      </c>
      <c r="M41" s="18" t="n"/>
    </row>
    <row r="42">
      <c r="A42" s="18" t="inlineStr">
        <is>
          <t>Income</t>
        </is>
      </c>
      <c r="B42" s="19" t="n">
        <v>45905</v>
      </c>
      <c r="C42" s="18" t="inlineStr">
        <is>
          <t>IRA_Distribution</t>
        </is>
      </c>
      <c r="D42" s="20" t="n">
        <v>1230</v>
      </c>
      <c r="E42" s="20" t="n">
        <v>110.7</v>
      </c>
      <c r="F42" s="20" t="n">
        <v>61.5</v>
      </c>
      <c r="G42" s="21">
        <f>D42-E42-F42</f>
        <v/>
      </c>
      <c r="H42" s="18" t="n"/>
      <c r="I42" s="18" t="n"/>
      <c r="J42" s="18" t="inlineStr">
        <is>
          <t>Income Acct Disbursement (net in Trends U)</t>
        </is>
      </c>
      <c r="K42" s="18" t="n">
        <v>2025</v>
      </c>
      <c r="L42" s="18" t="inlineStr">
        <is>
          <t>Trends R64 2025-09-05</t>
        </is>
      </c>
      <c r="M42" s="18" t="n"/>
    </row>
    <row r="43">
      <c r="A43" s="18" t="inlineStr">
        <is>
          <t>Income</t>
        </is>
      </c>
      <c r="B43" s="19" t="n">
        <v>45912</v>
      </c>
      <c r="C43" s="18" t="inlineStr">
        <is>
          <t>IRA_Distribution</t>
        </is>
      </c>
      <c r="D43" s="20" t="n">
        <v>1230</v>
      </c>
      <c r="E43" s="20" t="n">
        <v>110.7</v>
      </c>
      <c r="F43" s="20" t="n">
        <v>61.5</v>
      </c>
      <c r="G43" s="21">
        <f>D43-E43-F43</f>
        <v/>
      </c>
      <c r="H43" s="18" t="n"/>
      <c r="I43" s="18" t="n"/>
      <c r="J43" s="18" t="inlineStr">
        <is>
          <t>Income Acct Disbursement (net in Trends U)</t>
        </is>
      </c>
      <c r="K43" s="18" t="n">
        <v>2025</v>
      </c>
      <c r="L43" s="18" t="inlineStr">
        <is>
          <t>Trends R65 2025-09-12</t>
        </is>
      </c>
      <c r="M43" s="18" t="n"/>
    </row>
    <row r="44">
      <c r="A44" s="18" t="inlineStr">
        <is>
          <t>Income</t>
        </is>
      </c>
      <c r="B44" s="19" t="n">
        <v>45919</v>
      </c>
      <c r="C44" s="18" t="inlineStr">
        <is>
          <t>IRA_Distribution</t>
        </is>
      </c>
      <c r="D44" s="20" t="n">
        <v>1230</v>
      </c>
      <c r="E44" s="20" t="n">
        <v>110.7</v>
      </c>
      <c r="F44" s="20" t="n">
        <v>61.5</v>
      </c>
      <c r="G44" s="21">
        <f>D44-E44-F44</f>
        <v/>
      </c>
      <c r="H44" s="18" t="n"/>
      <c r="I44" s="18" t="n"/>
      <c r="J44" s="18" t="inlineStr">
        <is>
          <t>Income Acct Disbursement (net in Trends U)</t>
        </is>
      </c>
      <c r="K44" s="18" t="n">
        <v>2025</v>
      </c>
      <c r="L44" s="18" t="inlineStr">
        <is>
          <t>Trends R66 2025-09-19</t>
        </is>
      </c>
      <c r="M44" s="18" t="n"/>
    </row>
    <row r="45">
      <c r="A45" s="18" t="inlineStr">
        <is>
          <t>9</t>
        </is>
      </c>
      <c r="B45" s="19" t="n">
        <v>45919</v>
      </c>
      <c r="C45" s="18" t="inlineStr">
        <is>
          <t>IRA_Distribution</t>
        </is>
      </c>
      <c r="D45" s="20" t="n">
        <v>1000</v>
      </c>
      <c r="E45" s="20" t="n">
        <v>0</v>
      </c>
      <c r="F45" s="20" t="n">
        <v>0</v>
      </c>
      <c r="G45" s="21">
        <f>D45-E45-F45</f>
        <v/>
      </c>
      <c r="H45" s="18" t="n"/>
      <c r="I45" s="18" t="n"/>
      <c r="J45" s="18" t="inlineStr">
        <is>
          <t>Acct 9 IRA distribution (Trends AB)</t>
        </is>
      </c>
      <c r="K45" s="18" t="n">
        <v>2025</v>
      </c>
      <c r="L45" s="18" t="inlineStr">
        <is>
          <t>Trends R66 2025-09-19</t>
        </is>
      </c>
      <c r="M45" s="18" t="n"/>
    </row>
    <row r="46">
      <c r="A46" s="18" t="inlineStr">
        <is>
          <t>Car</t>
        </is>
      </c>
      <c r="B46" s="19" t="n">
        <v>45919</v>
      </c>
      <c r="C46" s="18" t="inlineStr">
        <is>
          <t>Withdrawal</t>
        </is>
      </c>
      <c r="D46" s="20" t="n">
        <v>600</v>
      </c>
      <c r="E46" s="20" t="n">
        <v>0</v>
      </c>
      <c r="F46" s="20" t="n">
        <v>0</v>
      </c>
      <c r="G46" s="21">
        <f>D46-E46-F46</f>
        <v/>
      </c>
      <c r="H46" s="18" t="n"/>
      <c r="I46" s="18" t="n"/>
      <c r="J46" s="18" t="inlineStr">
        <is>
          <t>Car account withdrawal (Trends AC)</t>
        </is>
      </c>
      <c r="K46" s="18" t="n">
        <v>2025</v>
      </c>
      <c r="L46" s="18" t="inlineStr">
        <is>
          <t>Trends R66 2025-09-19</t>
        </is>
      </c>
      <c r="M46" s="18" t="n"/>
    </row>
    <row r="47">
      <c r="A47" s="18" t="inlineStr">
        <is>
          <t>Income</t>
        </is>
      </c>
      <c r="B47" s="19" t="n">
        <v>45926</v>
      </c>
      <c r="C47" s="18" t="inlineStr">
        <is>
          <t>IRA_Distribution</t>
        </is>
      </c>
      <c r="D47" s="20" t="n">
        <v>1230</v>
      </c>
      <c r="E47" s="20" t="n">
        <v>110.7</v>
      </c>
      <c r="F47" s="20" t="n">
        <v>61.5</v>
      </c>
      <c r="G47" s="21">
        <f>D47-E47-F47</f>
        <v/>
      </c>
      <c r="H47" s="18" t="n"/>
      <c r="I47" s="18" t="n"/>
      <c r="J47" s="18" t="inlineStr">
        <is>
          <t>Income Acct Disbursement (net in Trends U)</t>
        </is>
      </c>
      <c r="K47" s="18" t="n">
        <v>2025</v>
      </c>
      <c r="L47" s="18" t="inlineStr">
        <is>
          <t>Trends R67 2025-09-26</t>
        </is>
      </c>
      <c r="M47" s="18" t="n"/>
    </row>
    <row r="48">
      <c r="A48" s="18" t="inlineStr">
        <is>
          <t>9</t>
        </is>
      </c>
      <c r="B48" s="19" t="n">
        <v>45926</v>
      </c>
      <c r="C48" s="18" t="inlineStr">
        <is>
          <t>IRA_Distribution</t>
        </is>
      </c>
      <c r="D48" s="20" t="n">
        <v>800</v>
      </c>
      <c r="E48" s="20" t="n">
        <v>0</v>
      </c>
      <c r="F48" s="20" t="n">
        <v>0</v>
      </c>
      <c r="G48" s="21">
        <f>D48-E48-F48</f>
        <v/>
      </c>
      <c r="H48" s="18" t="n"/>
      <c r="I48" s="18" t="n"/>
      <c r="J48" s="18" t="inlineStr">
        <is>
          <t>Acct 9 IRA distribution (Trends AB)</t>
        </is>
      </c>
      <c r="K48" s="18" t="n">
        <v>2025</v>
      </c>
      <c r="L48" s="18" t="inlineStr">
        <is>
          <t>Trends R67 2025-09-26</t>
        </is>
      </c>
      <c r="M48" s="18" t="n"/>
    </row>
    <row r="49">
      <c r="A49" s="18" t="inlineStr">
        <is>
          <t>Income</t>
        </is>
      </c>
      <c r="B49" s="19" t="n">
        <v>45933</v>
      </c>
      <c r="C49" s="18" t="inlineStr">
        <is>
          <t>IRA_Distribution</t>
        </is>
      </c>
      <c r="D49" s="20" t="n">
        <v>1088.5</v>
      </c>
      <c r="E49" s="20" t="n">
        <v>109</v>
      </c>
      <c r="F49" s="20" t="n">
        <v>54.5</v>
      </c>
      <c r="G49" s="21">
        <f>D49-E49-F49</f>
        <v/>
      </c>
      <c r="H49" s="18" t="n"/>
      <c r="I49" s="18" t="n"/>
      <c r="J49" s="18" t="inlineStr">
        <is>
          <t>Income Acct Disbursement (net in Trends U)</t>
        </is>
      </c>
      <c r="K49" s="18" t="n">
        <v>2025</v>
      </c>
      <c r="L49" s="18" t="inlineStr">
        <is>
          <t>Trends R68 2025-10-03</t>
        </is>
      </c>
      <c r="M49" s="18" t="n"/>
    </row>
    <row r="50">
      <c r="A50" s="18" t="inlineStr">
        <is>
          <t>9</t>
        </is>
      </c>
      <c r="B50" s="19" t="n">
        <v>45933</v>
      </c>
      <c r="C50" s="18" t="inlineStr">
        <is>
          <t>IRA_Distribution</t>
        </is>
      </c>
      <c r="D50" s="20" t="n">
        <v>500</v>
      </c>
      <c r="E50" s="20" t="n">
        <v>0</v>
      </c>
      <c r="F50" s="20" t="n">
        <v>0</v>
      </c>
      <c r="G50" s="21">
        <f>D50-E50-F50</f>
        <v/>
      </c>
      <c r="H50" s="18" t="n"/>
      <c r="I50" s="18" t="n"/>
      <c r="J50" s="18" t="inlineStr">
        <is>
          <t>Acct 9 IRA distribution (Trends AB)</t>
        </is>
      </c>
      <c r="K50" s="18" t="n">
        <v>2025</v>
      </c>
      <c r="L50" s="18" t="inlineStr">
        <is>
          <t>Trends R68 2025-10-03</t>
        </is>
      </c>
      <c r="M50" s="18" t="n"/>
    </row>
    <row r="51">
      <c r="A51" s="18" t="inlineStr">
        <is>
          <t>Income</t>
        </is>
      </c>
      <c r="B51" s="19" t="n">
        <v>45940</v>
      </c>
      <c r="C51" s="18" t="inlineStr">
        <is>
          <t>IRA_Distribution</t>
        </is>
      </c>
      <c r="D51" s="20" t="n">
        <v>1090</v>
      </c>
      <c r="E51" s="20" t="n">
        <v>109</v>
      </c>
      <c r="F51" s="20" t="n">
        <v>54.5</v>
      </c>
      <c r="G51" s="21">
        <f>D51-E51-F51</f>
        <v/>
      </c>
      <c r="H51" s="18" t="n"/>
      <c r="I51" s="18" t="n"/>
      <c r="J51" s="18" t="inlineStr">
        <is>
          <t>Income Acct Disbursement (net in Trends U)</t>
        </is>
      </c>
      <c r="K51" s="18" t="n">
        <v>2025</v>
      </c>
      <c r="L51" s="18" t="inlineStr">
        <is>
          <t>Trends R69 2025-10-10</t>
        </is>
      </c>
      <c r="M51" s="18" t="n"/>
    </row>
    <row r="52">
      <c r="A52" s="18" t="inlineStr">
        <is>
          <t>Income</t>
        </is>
      </c>
      <c r="B52" s="19" t="n">
        <v>45947</v>
      </c>
      <c r="C52" s="18" t="inlineStr">
        <is>
          <t>IRA_Distribution</t>
        </is>
      </c>
      <c r="D52" s="20" t="n">
        <v>1090</v>
      </c>
      <c r="E52" s="20" t="n">
        <v>109</v>
      </c>
      <c r="F52" s="20" t="n">
        <v>54.5</v>
      </c>
      <c r="G52" s="21">
        <f>D52-E52-F52</f>
        <v/>
      </c>
      <c r="H52" s="18" t="n"/>
      <c r="I52" s="18" t="n"/>
      <c r="J52" s="18" t="inlineStr">
        <is>
          <t>Income Acct Disbursement (net in Trends U)</t>
        </is>
      </c>
      <c r="K52" s="18" t="n">
        <v>2025</v>
      </c>
      <c r="L52" s="18" t="inlineStr">
        <is>
          <t>Trends R70 2025-10-17</t>
        </is>
      </c>
      <c r="M52" s="18" t="n"/>
    </row>
    <row r="53">
      <c r="A53" s="18" t="inlineStr">
        <is>
          <t>9</t>
        </is>
      </c>
      <c r="B53" s="19" t="n">
        <v>45947</v>
      </c>
      <c r="C53" s="18" t="inlineStr">
        <is>
          <t>IRA_Distribution</t>
        </is>
      </c>
      <c r="D53" s="20" t="n">
        <v>1455</v>
      </c>
      <c r="E53" s="20" t="n">
        <v>0</v>
      </c>
      <c r="F53" s="20" t="n">
        <v>0</v>
      </c>
      <c r="G53" s="21">
        <f>D53-E53-F53</f>
        <v/>
      </c>
      <c r="H53" s="18" t="n"/>
      <c r="I53" s="18" t="n"/>
      <c r="J53" s="18" t="inlineStr">
        <is>
          <t>Acct 9 IRA distribution (Trends AB)</t>
        </is>
      </c>
      <c r="K53" s="18" t="n">
        <v>2025</v>
      </c>
      <c r="L53" s="18" t="inlineStr">
        <is>
          <t>Trends R70 2025-10-17</t>
        </is>
      </c>
      <c r="M53" s="18" t="n"/>
    </row>
    <row r="54">
      <c r="A54" s="18" t="inlineStr">
        <is>
          <t>Income</t>
        </is>
      </c>
      <c r="B54" s="19" t="n">
        <v>45954</v>
      </c>
      <c r="C54" s="18" t="inlineStr">
        <is>
          <t>IRA_Distribution</t>
        </is>
      </c>
      <c r="D54" s="20" t="n">
        <v>1090</v>
      </c>
      <c r="E54" s="20" t="n">
        <v>109</v>
      </c>
      <c r="F54" s="20" t="n">
        <v>54.5</v>
      </c>
      <c r="G54" s="21">
        <f>D54-E54-F54</f>
        <v/>
      </c>
      <c r="H54" s="18" t="n"/>
      <c r="I54" s="18" t="n"/>
      <c r="J54" s="18" t="inlineStr">
        <is>
          <t>Income Acct Disbursement (net in Trends U)</t>
        </is>
      </c>
      <c r="K54" s="18" t="n">
        <v>2025</v>
      </c>
      <c r="L54" s="18" t="inlineStr">
        <is>
          <t>Trends R71 2025-10-24</t>
        </is>
      </c>
      <c r="M54" s="18" t="n"/>
    </row>
    <row r="55">
      <c r="A55" s="18" t="inlineStr">
        <is>
          <t>9</t>
        </is>
      </c>
      <c r="B55" s="19" t="n">
        <v>45954</v>
      </c>
      <c r="C55" s="18" t="inlineStr">
        <is>
          <t>IRA_Distribution</t>
        </is>
      </c>
      <c r="D55" s="20" t="n">
        <v>750</v>
      </c>
      <c r="E55" s="20" t="n">
        <v>0</v>
      </c>
      <c r="F55" s="20" t="n">
        <v>0</v>
      </c>
      <c r="G55" s="21">
        <f>D55-E55-F55</f>
        <v/>
      </c>
      <c r="H55" s="18" t="n"/>
      <c r="I55" s="18" t="n"/>
      <c r="J55" s="18" t="inlineStr">
        <is>
          <t>Acct 9 IRA distribution (Trends AB)</t>
        </is>
      </c>
      <c r="K55" s="18" t="n">
        <v>2025</v>
      </c>
      <c r="L55" s="18" t="inlineStr">
        <is>
          <t>Trends R71 2025-10-24</t>
        </is>
      </c>
      <c r="M55" s="18" t="n"/>
    </row>
    <row r="56">
      <c r="A56" s="18" t="inlineStr">
        <is>
          <t>Car</t>
        </is>
      </c>
      <c r="B56" s="19" t="n">
        <v>45954</v>
      </c>
      <c r="C56" s="18" t="inlineStr">
        <is>
          <t>Withdrawal</t>
        </is>
      </c>
      <c r="D56" s="20" t="n">
        <v>600</v>
      </c>
      <c r="E56" s="20" t="n">
        <v>0</v>
      </c>
      <c r="F56" s="20" t="n">
        <v>0</v>
      </c>
      <c r="G56" s="21">
        <f>D56-E56-F56</f>
        <v/>
      </c>
      <c r="H56" s="18" t="n"/>
      <c r="I56" s="18" t="n"/>
      <c r="J56" s="18" t="inlineStr">
        <is>
          <t>Car account withdrawal (Trends AC)</t>
        </is>
      </c>
      <c r="K56" s="18" t="n">
        <v>2025</v>
      </c>
      <c r="L56" s="18" t="inlineStr">
        <is>
          <t>Trends R71 2025-10-24</t>
        </is>
      </c>
      <c r="M56" s="18" t="n"/>
    </row>
    <row r="57">
      <c r="A57" s="18" t="inlineStr">
        <is>
          <t>Income</t>
        </is>
      </c>
      <c r="B57" s="19" t="n">
        <v>45961</v>
      </c>
      <c r="C57" s="18" t="inlineStr">
        <is>
          <t>IRA_Distribution</t>
        </is>
      </c>
      <c r="D57" s="20" t="n">
        <v>1090</v>
      </c>
      <c r="E57" s="20" t="n">
        <v>109</v>
      </c>
      <c r="F57" s="20" t="n">
        <v>54.5</v>
      </c>
      <c r="G57" s="21">
        <f>D57-E57-F57</f>
        <v/>
      </c>
      <c r="H57" s="18" t="n"/>
      <c r="I57" s="18" t="n"/>
      <c r="J57" s="18" t="inlineStr">
        <is>
          <t>Income Acct Disbursement (net in Trends U)</t>
        </is>
      </c>
      <c r="K57" s="18" t="n">
        <v>2025</v>
      </c>
      <c r="L57" s="18" t="inlineStr">
        <is>
          <t>Trends R72 2025-10-31</t>
        </is>
      </c>
      <c r="M57" s="18" t="n"/>
    </row>
    <row r="58">
      <c r="A58" s="18" t="inlineStr">
        <is>
          <t>Car</t>
        </is>
      </c>
      <c r="B58" s="19" t="n">
        <v>45961</v>
      </c>
      <c r="C58" s="18" t="inlineStr">
        <is>
          <t>Withdrawal</t>
        </is>
      </c>
      <c r="D58" s="20" t="n">
        <v>860</v>
      </c>
      <c r="E58" s="20" t="n">
        <v>0</v>
      </c>
      <c r="F58" s="20" t="n">
        <v>0</v>
      </c>
      <c r="G58" s="21">
        <f>D58-E58-F58</f>
        <v/>
      </c>
      <c r="H58" s="18" t="n"/>
      <c r="I58" s="18" t="n"/>
      <c r="J58" s="18" t="inlineStr">
        <is>
          <t>Car account withdrawal (Trends AC)</t>
        </is>
      </c>
      <c r="K58" s="18" t="n">
        <v>2025</v>
      </c>
      <c r="L58" s="18" t="inlineStr">
        <is>
          <t>Trends R72 2025-10-31</t>
        </is>
      </c>
      <c r="M58" s="18" t="n"/>
    </row>
    <row r="59">
      <c r="A59" s="18" t="inlineStr">
        <is>
          <t>Income</t>
        </is>
      </c>
      <c r="B59" s="19" t="n">
        <v>45968</v>
      </c>
      <c r="C59" s="18" t="inlineStr">
        <is>
          <t>IRA_Distribution</t>
        </is>
      </c>
      <c r="D59" s="20" t="n">
        <v>1100</v>
      </c>
      <c r="E59" s="20" t="n">
        <v>110</v>
      </c>
      <c r="F59" s="20" t="n">
        <v>55</v>
      </c>
      <c r="G59" s="21">
        <f>D59-E59-F59</f>
        <v/>
      </c>
      <c r="H59" s="18" t="n"/>
      <c r="I59" s="18" t="n"/>
      <c r="J59" s="18" t="inlineStr">
        <is>
          <t>Income Acct Disbursement (net in Trends U)</t>
        </is>
      </c>
      <c r="K59" s="18" t="n">
        <v>2025</v>
      </c>
      <c r="L59" s="18" t="inlineStr">
        <is>
          <t>Trends R73 2025-11-07</t>
        </is>
      </c>
      <c r="M59" s="18" t="n"/>
    </row>
    <row r="60">
      <c r="A60" s="18" t="inlineStr">
        <is>
          <t>Car</t>
        </is>
      </c>
      <c r="B60" s="19" t="n">
        <v>45968</v>
      </c>
      <c r="C60" s="18" t="inlineStr">
        <is>
          <t>Withdrawal</t>
        </is>
      </c>
      <c r="D60" s="20" t="n">
        <v>100</v>
      </c>
      <c r="E60" s="20" t="n">
        <v>0</v>
      </c>
      <c r="F60" s="20" t="n">
        <v>0</v>
      </c>
      <c r="G60" s="21">
        <f>D60-E60-F60</f>
        <v/>
      </c>
      <c r="H60" s="18" t="n"/>
      <c r="I60" s="18" t="n"/>
      <c r="J60" s="18" t="inlineStr">
        <is>
          <t>Car account withdrawal (Trends AC)</t>
        </is>
      </c>
      <c r="K60" s="18" t="n">
        <v>2025</v>
      </c>
      <c r="L60" s="18" t="inlineStr">
        <is>
          <t>Trends R73 2025-11-07</t>
        </is>
      </c>
      <c r="M60" s="18" t="n"/>
    </row>
    <row r="61">
      <c r="A61" s="18" t="inlineStr">
        <is>
          <t>Income</t>
        </is>
      </c>
      <c r="B61" s="19" t="n">
        <v>45975</v>
      </c>
      <c r="C61" s="18" t="inlineStr">
        <is>
          <t>IRA_Distribution</t>
        </is>
      </c>
      <c r="D61" s="20" t="n">
        <v>1100</v>
      </c>
      <c r="E61" s="20" t="n">
        <v>110</v>
      </c>
      <c r="F61" s="20" t="n">
        <v>55</v>
      </c>
      <c r="G61" s="21">
        <f>D61-E61-F61</f>
        <v/>
      </c>
      <c r="H61" s="18" t="n"/>
      <c r="I61" s="18" t="n"/>
      <c r="J61" s="18" t="inlineStr">
        <is>
          <t>Income Acct Disbursement (net in Trends U)</t>
        </is>
      </c>
      <c r="K61" s="18" t="n">
        <v>2025</v>
      </c>
      <c r="L61" s="18" t="inlineStr">
        <is>
          <t>Trends R74 2025-11-14</t>
        </is>
      </c>
      <c r="M61" s="18" t="n"/>
    </row>
    <row r="62">
      <c r="A62" s="18" t="inlineStr">
        <is>
          <t>Car</t>
        </is>
      </c>
      <c r="B62" s="19" t="n">
        <v>45975</v>
      </c>
      <c r="C62" s="18" t="inlineStr">
        <is>
          <t>Withdrawal</t>
        </is>
      </c>
      <c r="D62" s="20" t="n">
        <v>100</v>
      </c>
      <c r="E62" s="20" t="n">
        <v>0</v>
      </c>
      <c r="F62" s="20" t="n">
        <v>0</v>
      </c>
      <c r="G62" s="21">
        <f>D62-E62-F62</f>
        <v/>
      </c>
      <c r="H62" s="18" t="n"/>
      <c r="I62" s="18" t="n"/>
      <c r="J62" s="18" t="inlineStr">
        <is>
          <t>Car account withdrawal (Trends AC)</t>
        </is>
      </c>
      <c r="K62" s="18" t="n">
        <v>2025</v>
      </c>
      <c r="L62" s="18" t="inlineStr">
        <is>
          <t>Trends R74 2025-11-14</t>
        </is>
      </c>
      <c r="M62" s="18" t="n"/>
    </row>
    <row r="63">
      <c r="A63" s="18" t="inlineStr">
        <is>
          <t>Income</t>
        </is>
      </c>
      <c r="B63" s="19" t="n">
        <v>45982</v>
      </c>
      <c r="C63" s="18" t="inlineStr">
        <is>
          <t>IRA_Distribution</t>
        </is>
      </c>
      <c r="D63" s="20" t="n">
        <v>1100</v>
      </c>
      <c r="E63" s="20" t="n">
        <v>165</v>
      </c>
      <c r="F63" s="20" t="n">
        <v>0</v>
      </c>
      <c r="G63" s="21">
        <f>D63-E63-F63</f>
        <v/>
      </c>
      <c r="H63" s="18" t="n"/>
      <c r="I63" s="18" t="n"/>
      <c r="J63" s="18" t="inlineStr">
        <is>
          <t>Income Acct Disbursement (net in Trends U)</t>
        </is>
      </c>
      <c r="K63" s="18" t="n">
        <v>2025</v>
      </c>
      <c r="L63" s="18" t="inlineStr">
        <is>
          <t>Trends R75 2025-11-21</t>
        </is>
      </c>
      <c r="M63" s="18" t="n"/>
    </row>
    <row r="64">
      <c r="A64" s="18" t="inlineStr">
        <is>
          <t>FI Roth</t>
        </is>
      </c>
      <c r="B64" s="19" t="n">
        <v>45982</v>
      </c>
      <c r="C64" s="18" t="inlineStr">
        <is>
          <t>Roth_Distribution</t>
        </is>
      </c>
      <c r="D64" s="20" t="n">
        <v>100</v>
      </c>
      <c r="E64" s="20" t="n">
        <v>0</v>
      </c>
      <c r="F64" s="20" t="n">
        <v>0</v>
      </c>
      <c r="G64" s="21">
        <f>D64-E64-F64</f>
        <v/>
      </c>
      <c r="H64" s="18" t="n"/>
      <c r="I64" s="18" t="n"/>
      <c r="J64" s="18" t="inlineStr">
        <is>
          <t>Roth distribution (Trends AA)</t>
        </is>
      </c>
      <c r="K64" s="18" t="n">
        <v>2025</v>
      </c>
      <c r="L64" s="18" t="inlineStr">
        <is>
          <t>Trends R75 2025-11-21</t>
        </is>
      </c>
      <c r="M64" s="18" t="n"/>
    </row>
    <row r="65">
      <c r="A65" s="18" t="inlineStr">
        <is>
          <t>Income</t>
        </is>
      </c>
      <c r="B65" s="19" t="n">
        <v>45989</v>
      </c>
      <c r="C65" s="18" t="inlineStr">
        <is>
          <t>IRA_Distribution</t>
        </is>
      </c>
      <c r="D65" s="20" t="n">
        <v>1100</v>
      </c>
      <c r="E65" s="20" t="n">
        <v>165</v>
      </c>
      <c r="F65" s="20" t="n">
        <v>0</v>
      </c>
      <c r="G65" s="21">
        <f>D65-E65-F65</f>
        <v/>
      </c>
      <c r="H65" s="18" t="n"/>
      <c r="I65" s="18" t="n"/>
      <c r="J65" s="18" t="inlineStr">
        <is>
          <t>Income Acct Disbursement (net in Trends U)</t>
        </is>
      </c>
      <c r="K65" s="18" t="n">
        <v>2025</v>
      </c>
      <c r="L65" s="18" t="inlineStr">
        <is>
          <t>Trends R76 2025-11-28</t>
        </is>
      </c>
      <c r="M65" s="18" t="n"/>
    </row>
    <row r="66">
      <c r="A66" s="18" t="inlineStr">
        <is>
          <t>FI Roth</t>
        </is>
      </c>
      <c r="B66" s="19" t="n">
        <v>45989</v>
      </c>
      <c r="C66" s="18" t="inlineStr">
        <is>
          <t>Roth_Distribution</t>
        </is>
      </c>
      <c r="D66" s="20" t="n">
        <v>65</v>
      </c>
      <c r="E66" s="20" t="n">
        <v>0</v>
      </c>
      <c r="F66" s="20" t="n">
        <v>0</v>
      </c>
      <c r="G66" s="21">
        <f>D66-E66-F66</f>
        <v/>
      </c>
      <c r="H66" s="18" t="n"/>
      <c r="I66" s="18" t="n"/>
      <c r="J66" s="18" t="inlineStr">
        <is>
          <t>Roth distribution (Trends AA)</t>
        </is>
      </c>
      <c r="K66" s="18" t="n">
        <v>2025</v>
      </c>
      <c r="L66" s="18" t="inlineStr">
        <is>
          <t>Trends R76 2025-11-28</t>
        </is>
      </c>
      <c r="M66" s="18" t="n"/>
    </row>
    <row r="67">
      <c r="A67" s="18" t="inlineStr">
        <is>
          <t>Income</t>
        </is>
      </c>
      <c r="B67" s="19" t="n">
        <v>45996</v>
      </c>
      <c r="C67" s="18" t="inlineStr">
        <is>
          <t>IRA_Distribution</t>
        </is>
      </c>
      <c r="D67" s="20" t="n">
        <v>1100</v>
      </c>
      <c r="E67" s="20" t="n">
        <v>165</v>
      </c>
      <c r="F67" s="20" t="n">
        <v>0</v>
      </c>
      <c r="G67" s="21">
        <f>D67-E67-F67</f>
        <v/>
      </c>
      <c r="H67" s="18" t="n"/>
      <c r="I67" s="18" t="n"/>
      <c r="J67" s="18" t="inlineStr">
        <is>
          <t>Income Acct Disbursement (net in Trends U)</t>
        </is>
      </c>
      <c r="K67" s="18" t="n">
        <v>2025</v>
      </c>
      <c r="L67" s="18" t="inlineStr">
        <is>
          <t>Trends R77 2025-12-05</t>
        </is>
      </c>
      <c r="M67" s="18" t="n"/>
    </row>
    <row r="68">
      <c r="A68" s="18" t="inlineStr">
        <is>
          <t>FI Roth</t>
        </is>
      </c>
      <c r="B68" s="19" t="n">
        <v>45996</v>
      </c>
      <c r="C68" s="18" t="inlineStr">
        <is>
          <t>Roth_Distribution</t>
        </is>
      </c>
      <c r="D68" s="20" t="n">
        <v>66</v>
      </c>
      <c r="E68" s="20" t="n">
        <v>0</v>
      </c>
      <c r="F68" s="20" t="n">
        <v>0</v>
      </c>
      <c r="G68" s="21">
        <f>D68-E68-F68</f>
        <v/>
      </c>
      <c r="H68" s="18" t="n"/>
      <c r="I68" s="18" t="n"/>
      <c r="J68" s="18" t="inlineStr">
        <is>
          <t>Roth distribution (Trends AA)</t>
        </is>
      </c>
      <c r="K68" s="18" t="n">
        <v>2025</v>
      </c>
      <c r="L68" s="18" t="inlineStr">
        <is>
          <t>Trends R77 2025-12-05</t>
        </is>
      </c>
      <c r="M68" s="18" t="n"/>
    </row>
    <row r="69">
      <c r="A69" s="18" t="inlineStr">
        <is>
          <t>Income</t>
        </is>
      </c>
      <c r="B69" s="19" t="n">
        <v>46003</v>
      </c>
      <c r="C69" s="18" t="inlineStr">
        <is>
          <t>IRA_Distribution</t>
        </is>
      </c>
      <c r="D69" s="20" t="n">
        <v>1100</v>
      </c>
      <c r="E69" s="20" t="n">
        <v>165</v>
      </c>
      <c r="F69" s="20" t="n">
        <v>0</v>
      </c>
      <c r="G69" s="21">
        <f>D69-E69-F69</f>
        <v/>
      </c>
      <c r="H69" s="18" t="n"/>
      <c r="I69" s="18" t="n"/>
      <c r="J69" s="18" t="inlineStr">
        <is>
          <t>Income Acct Disbursement (net in Trends U)</t>
        </is>
      </c>
      <c r="K69" s="18" t="n">
        <v>2025</v>
      </c>
      <c r="L69" s="18" t="inlineStr">
        <is>
          <t>Trends R78 2025-12-12</t>
        </is>
      </c>
      <c r="M69" s="18" t="n"/>
    </row>
    <row r="70">
      <c r="A70" s="18" t="inlineStr">
        <is>
          <t>FI Roth</t>
        </is>
      </c>
      <c r="B70" s="19" t="n">
        <v>46003</v>
      </c>
      <c r="C70" s="18" t="inlineStr">
        <is>
          <t>Roth_Distribution</t>
        </is>
      </c>
      <c r="D70" s="20" t="n">
        <v>81</v>
      </c>
      <c r="E70" s="20" t="n">
        <v>0</v>
      </c>
      <c r="F70" s="20" t="n">
        <v>0</v>
      </c>
      <c r="G70" s="21">
        <f>D70-E70-F70</f>
        <v/>
      </c>
      <c r="H70" s="18" t="n"/>
      <c r="I70" s="18" t="n"/>
      <c r="J70" s="18" t="inlineStr">
        <is>
          <t>Roth distribution (Trends AA)</t>
        </is>
      </c>
      <c r="K70" s="18" t="n">
        <v>2025</v>
      </c>
      <c r="L70" s="18" t="inlineStr">
        <is>
          <t>Trends R78 2025-12-12</t>
        </is>
      </c>
      <c r="M70" s="18" t="n"/>
    </row>
    <row r="71">
      <c r="A71" s="18" t="inlineStr">
        <is>
          <t>Income</t>
        </is>
      </c>
      <c r="B71" s="19" t="n">
        <v>46010</v>
      </c>
      <c r="C71" s="18" t="inlineStr">
        <is>
          <t>IRA_Distribution</t>
        </is>
      </c>
      <c r="D71" s="20" t="n">
        <v>1100</v>
      </c>
      <c r="E71" s="20" t="n">
        <v>165</v>
      </c>
      <c r="F71" s="20" t="n">
        <v>0</v>
      </c>
      <c r="G71" s="21">
        <f>D71-E71-F71</f>
        <v/>
      </c>
      <c r="H71" s="18" t="n"/>
      <c r="I71" s="18" t="n"/>
      <c r="J71" s="18" t="inlineStr">
        <is>
          <t>Income Acct Disbursement (net in Trends U)</t>
        </is>
      </c>
      <c r="K71" s="18" t="n">
        <v>2025</v>
      </c>
      <c r="L71" s="18" t="inlineStr">
        <is>
          <t>Trends R79 2025-12-19</t>
        </is>
      </c>
      <c r="M71" s="18" t="n"/>
    </row>
    <row r="72">
      <c r="A72" s="18" t="inlineStr">
        <is>
          <t>FI Roth</t>
        </is>
      </c>
      <c r="B72" s="19" t="n">
        <v>46010</v>
      </c>
      <c r="C72" s="18" t="inlineStr">
        <is>
          <t>Roth_Distribution</t>
        </is>
      </c>
      <c r="D72" s="20" t="n">
        <v>81</v>
      </c>
      <c r="E72" s="20" t="n">
        <v>0</v>
      </c>
      <c r="F72" s="20" t="n">
        <v>0</v>
      </c>
      <c r="G72" s="21">
        <f>D72-E72-F72</f>
        <v/>
      </c>
      <c r="H72" s="18" t="n"/>
      <c r="I72" s="18" t="n"/>
      <c r="J72" s="18" t="inlineStr">
        <is>
          <t>Roth distribution (Trends AA)</t>
        </is>
      </c>
      <c r="K72" s="18" t="n">
        <v>2025</v>
      </c>
      <c r="L72" s="18" t="inlineStr">
        <is>
          <t>Trends R79 2025-12-19</t>
        </is>
      </c>
      <c r="M72" s="18" t="n"/>
    </row>
    <row r="73">
      <c r="A73" s="18" t="inlineStr">
        <is>
          <t>Income</t>
        </is>
      </c>
      <c r="B73" s="19" t="n">
        <v>46017</v>
      </c>
      <c r="C73" s="18" t="inlineStr">
        <is>
          <t>IRA_Distribution</t>
        </is>
      </c>
      <c r="D73" s="20" t="n">
        <v>165</v>
      </c>
      <c r="E73" s="20" t="n">
        <v>163.35</v>
      </c>
      <c r="F73" s="20" t="n">
        <v>0</v>
      </c>
      <c r="G73" s="21">
        <f>D73-E73-F73</f>
        <v/>
      </c>
      <c r="H73" s="18" t="n"/>
      <c r="I73" s="18" t="n"/>
      <c r="J73" s="18" t="inlineStr">
        <is>
          <t>Income Acct Disbursement (net in Trends U)</t>
        </is>
      </c>
      <c r="K73" s="18" t="n">
        <v>2025</v>
      </c>
      <c r="L73" s="18" t="inlineStr">
        <is>
          <t>Trends R80 2025-12-26</t>
        </is>
      </c>
      <c r="M73" s="18" t="n"/>
    </row>
    <row r="74">
      <c r="A74" s="18" t="inlineStr">
        <is>
          <t>Car</t>
        </is>
      </c>
      <c r="B74" s="19" t="n">
        <v>46017</v>
      </c>
      <c r="C74" s="18" t="inlineStr">
        <is>
          <t>Withdrawal</t>
        </is>
      </c>
      <c r="D74" s="20" t="n">
        <v>600</v>
      </c>
      <c r="E74" s="20" t="n">
        <v>0</v>
      </c>
      <c r="F74" s="20" t="n">
        <v>0</v>
      </c>
      <c r="G74" s="21">
        <f>D74-E74-F74</f>
        <v/>
      </c>
      <c r="H74" s="18" t="n"/>
      <c r="I74" s="18" t="n"/>
      <c r="J74" s="18" t="inlineStr">
        <is>
          <t>Car account withdrawal (Trends AC)</t>
        </is>
      </c>
      <c r="K74" s="18" t="n">
        <v>2025</v>
      </c>
      <c r="L74" s="18" t="inlineStr">
        <is>
          <t>Trends R80 2025-12-26</t>
        </is>
      </c>
      <c r="M74" s="18" t="n"/>
    </row>
    <row r="75">
      <c r="A75" s="18" t="inlineStr">
        <is>
          <t>Income</t>
        </is>
      </c>
      <c r="B75" s="19" t="n">
        <v>46024</v>
      </c>
      <c r="C75" s="18" t="inlineStr">
        <is>
          <t>IRA_Distribution</t>
        </is>
      </c>
      <c r="D75" s="20" t="n">
        <v>1100</v>
      </c>
      <c r="E75" s="20" t="n">
        <v>110</v>
      </c>
      <c r="F75" s="20" t="n">
        <v>44</v>
      </c>
      <c r="G75" s="21">
        <f>D75-E75-F75</f>
        <v/>
      </c>
      <c r="H75" s="18" t="n"/>
      <c r="I75" s="18" t="n"/>
      <c r="J75" s="18" t="inlineStr">
        <is>
          <t>Income Acct Disbursement (net in Trends U)</t>
        </is>
      </c>
      <c r="K75" s="18" t="n">
        <v>2026</v>
      </c>
      <c r="L75" s="18" t="inlineStr">
        <is>
          <t>Trends R82 2026-01-02</t>
        </is>
      </c>
      <c r="M75" s="18" t="n"/>
    </row>
    <row r="76">
      <c r="A76" s="18" t="inlineStr">
        <is>
          <t>Income</t>
        </is>
      </c>
      <c r="B76" s="19" t="n">
        <v>46031</v>
      </c>
      <c r="C76" s="18" t="inlineStr">
        <is>
          <t>IRA_Distribution</t>
        </is>
      </c>
      <c r="D76" s="20" t="n">
        <v>1100</v>
      </c>
      <c r="E76" s="20" t="n">
        <v>110</v>
      </c>
      <c r="F76" s="20" t="n">
        <v>44</v>
      </c>
      <c r="G76" s="21">
        <f>D76-E76-F76</f>
        <v/>
      </c>
      <c r="H76" s="18" t="n"/>
      <c r="I76" s="18" t="n"/>
      <c r="J76" s="18" t="inlineStr">
        <is>
          <t>Income Acct Disbursement (net in Trends U)</t>
        </is>
      </c>
      <c r="K76" s="18" t="n">
        <v>2026</v>
      </c>
      <c r="L76" s="18" t="inlineStr">
        <is>
          <t>Trends R83 2026-01-09</t>
        </is>
      </c>
      <c r="M76" s="18" t="n"/>
    </row>
    <row r="77">
      <c r="A77" s="18" t="inlineStr">
        <is>
          <t>External</t>
        </is>
      </c>
      <c r="B77" s="19" t="n">
        <v>46031</v>
      </c>
      <c r="C77" s="18" t="inlineStr">
        <is>
          <t>SSA</t>
        </is>
      </c>
      <c r="D77" s="20" t="n">
        <v>2865</v>
      </c>
      <c r="E77" s="20" t="n">
        <v>0</v>
      </c>
      <c r="F77" s="20" t="n">
        <v>0</v>
      </c>
      <c r="G77" s="21">
        <f>D77-E77-F77</f>
        <v/>
      </c>
      <c r="H77" s="18" t="inlineStr">
        <is>
          <t>Tom</t>
        </is>
      </c>
      <c r="I77" s="18" t="n"/>
      <c r="J77" s="18" t="inlineStr">
        <is>
          <t>SSA Tom (full month received this week)</t>
        </is>
      </c>
      <c r="K77" s="18" t="n">
        <v>2026</v>
      </c>
      <c r="L77" s="18" t="inlineStr">
        <is>
          <t>Trends R83 2026-01-09</t>
        </is>
      </c>
      <c r="M77" s="18" t="n"/>
    </row>
    <row r="78">
      <c r="A78" s="18" t="inlineStr">
        <is>
          <t>Income</t>
        </is>
      </c>
      <c r="B78" s="19" t="n">
        <v>46038</v>
      </c>
      <c r="C78" s="18" t="inlineStr">
        <is>
          <t>IRA_Distribution</t>
        </is>
      </c>
      <c r="D78" s="20" t="n">
        <v>1500</v>
      </c>
      <c r="E78" s="20" t="n">
        <v>150</v>
      </c>
      <c r="F78" s="20" t="n">
        <v>60</v>
      </c>
      <c r="G78" s="21">
        <f>D78-E78-F78</f>
        <v/>
      </c>
      <c r="H78" s="18" t="n"/>
      <c r="I78" s="18" t="n"/>
      <c r="J78" s="18" t="inlineStr">
        <is>
          <t>Income Acct Disbursement (net in Trends U)</t>
        </is>
      </c>
      <c r="K78" s="18" t="n">
        <v>2026</v>
      </c>
      <c r="L78" s="18" t="inlineStr">
        <is>
          <t>Trends R84 2026-01-16</t>
        </is>
      </c>
      <c r="M78" s="18" t="n"/>
    </row>
    <row r="79">
      <c r="A79" s="18" t="inlineStr">
        <is>
          <t>Car</t>
        </is>
      </c>
      <c r="B79" s="19" t="n">
        <v>46045</v>
      </c>
      <c r="C79" s="18" t="inlineStr">
        <is>
          <t>Withdrawal</t>
        </is>
      </c>
      <c r="D79" s="20" t="n">
        <v>600</v>
      </c>
      <c r="E79" s="20" t="n">
        <v>0</v>
      </c>
      <c r="F79" s="20" t="n">
        <v>0</v>
      </c>
      <c r="G79" s="21">
        <f>D79-E79-F79</f>
        <v/>
      </c>
      <c r="H79" s="18" t="n"/>
      <c r="I79" s="18" t="n"/>
      <c r="J79" s="18" t="inlineStr">
        <is>
          <t>Car account withdrawal (Trends AC)</t>
        </is>
      </c>
      <c r="K79" s="18" t="n">
        <v>2026</v>
      </c>
      <c r="L79" s="18" t="inlineStr">
        <is>
          <t>Trends R85 2026-01-23</t>
        </is>
      </c>
      <c r="M79" s="18" t="n"/>
    </row>
    <row r="80">
      <c r="A80" s="18" t="inlineStr">
        <is>
          <t>Income</t>
        </is>
      </c>
      <c r="B80" s="19" t="n">
        <v>46052</v>
      </c>
      <c r="C80" s="18" t="inlineStr">
        <is>
          <t>IRA_Distribution</t>
        </is>
      </c>
      <c r="D80" s="20" t="n">
        <v>935</v>
      </c>
      <c r="E80" s="20" t="n">
        <v>0</v>
      </c>
      <c r="F80" s="20" t="n">
        <v>0</v>
      </c>
      <c r="G80" s="21">
        <f>D80-E80-F80</f>
        <v/>
      </c>
      <c r="H80" s="18" t="n"/>
      <c r="I80" s="18" t="n"/>
      <c r="J80" s="18" t="inlineStr">
        <is>
          <t>Income Acct Disbursement (net in Trends U)</t>
        </is>
      </c>
      <c r="K80" s="18" t="n">
        <v>2026</v>
      </c>
      <c r="L80" s="18" t="inlineStr">
        <is>
          <t>Trends R86 2026-01-30</t>
        </is>
      </c>
      <c r="M80" s="18" t="n"/>
    </row>
    <row r="81">
      <c r="A81" s="18" t="inlineStr">
        <is>
          <t>Income</t>
        </is>
      </c>
      <c r="B81" s="19" t="n">
        <v>46059</v>
      </c>
      <c r="C81" s="18" t="inlineStr">
        <is>
          <t>IRA_Distribution</t>
        </is>
      </c>
      <c r="D81" s="20" t="n">
        <v>4000</v>
      </c>
      <c r="E81" s="20" t="n">
        <v>400</v>
      </c>
      <c r="F81" s="20" t="n">
        <v>160</v>
      </c>
      <c r="G81" s="21">
        <f>D81-E81-F81</f>
        <v/>
      </c>
      <c r="H81" s="18" t="n"/>
      <c r="I81" s="18" t="n"/>
      <c r="J81" s="18" t="inlineStr">
        <is>
          <t>Income Acct Disbursement (net in Trends U)</t>
        </is>
      </c>
      <c r="K81" s="18" t="n">
        <v>2026</v>
      </c>
      <c r="L81" s="18" t="inlineStr">
        <is>
          <t>Trends R87 2026-02-06</t>
        </is>
      </c>
      <c r="M81" s="18" t="n"/>
    </row>
    <row r="82">
      <c r="A82" s="18" t="inlineStr">
        <is>
          <t>External</t>
        </is>
      </c>
      <c r="B82" s="19" t="n">
        <v>46059</v>
      </c>
      <c r="C82" s="18" t="inlineStr">
        <is>
          <t>SSA</t>
        </is>
      </c>
      <c r="D82" s="20" t="n">
        <v>2865</v>
      </c>
      <c r="E82" s="20" t="n">
        <v>0</v>
      </c>
      <c r="F82" s="20" t="n">
        <v>0</v>
      </c>
      <c r="G82" s="21">
        <f>D82-E82-F82</f>
        <v/>
      </c>
      <c r="H82" s="18" t="inlineStr">
        <is>
          <t>Tom</t>
        </is>
      </c>
      <c r="I82" s="18" t="n"/>
      <c r="J82" s="18" t="inlineStr">
        <is>
          <t>SSA Tom (full month received this week)</t>
        </is>
      </c>
      <c r="K82" s="18" t="n">
        <v>2026</v>
      </c>
      <c r="L82" s="18" t="inlineStr">
        <is>
          <t>Trends R87 2026-02-06</t>
        </is>
      </c>
      <c r="M82" s="18" t="n"/>
    </row>
    <row r="83">
      <c r="A83" s="18" t="inlineStr">
        <is>
          <t>Income</t>
        </is>
      </c>
      <c r="B83" s="19" t="n">
        <v>46080</v>
      </c>
      <c r="C83" s="18" t="inlineStr">
        <is>
          <t>IRA_Distribution</t>
        </is>
      </c>
      <c r="D83" s="20" t="n">
        <v>454</v>
      </c>
      <c r="E83" s="20" t="n">
        <v>108.96</v>
      </c>
      <c r="F83" s="20" t="n">
        <v>40.86</v>
      </c>
      <c r="G83" s="21">
        <f>D83-E83-F83</f>
        <v/>
      </c>
      <c r="H83" s="18" t="n"/>
      <c r="I83" s="18" t="n"/>
      <c r="J83" s="18" t="inlineStr">
        <is>
          <t>Income Acct Disbursement (net in Trends U)</t>
        </is>
      </c>
      <c r="K83" s="18" t="n">
        <v>2026</v>
      </c>
      <c r="L83" s="18" t="inlineStr">
        <is>
          <t>Trends R90 2026-02-27</t>
        </is>
      </c>
      <c r="M83" s="18" t="n"/>
    </row>
    <row r="84">
      <c r="A84" s="18" t="inlineStr">
        <is>
          <t>Income</t>
        </is>
      </c>
      <c r="B84" s="19" t="n">
        <v>46087</v>
      </c>
      <c r="C84" s="18" t="inlineStr">
        <is>
          <t>IRA_Distribution</t>
        </is>
      </c>
      <c r="D84" s="20" t="n">
        <v>3187.29</v>
      </c>
      <c r="E84" s="20" t="n">
        <v>318.72</v>
      </c>
      <c r="F84" s="20" t="n">
        <v>127.49</v>
      </c>
      <c r="G84" s="21">
        <f>D84-E84-F84</f>
        <v/>
      </c>
      <c r="H84" s="18" t="n"/>
      <c r="I84" s="18" t="n"/>
      <c r="J84" s="18" t="inlineStr">
        <is>
          <t>Income Acct Disbursement (net in Trends U)</t>
        </is>
      </c>
      <c r="K84" s="18" t="n">
        <v>2026</v>
      </c>
      <c r="L84" s="18" t="inlineStr">
        <is>
          <t>Trends R91 2026-03-06</t>
        </is>
      </c>
      <c r="M84" s="18" t="n"/>
    </row>
    <row r="85">
      <c r="A85" s="18" t="inlineStr">
        <is>
          <t>External</t>
        </is>
      </c>
      <c r="B85" s="19" t="n">
        <v>46087</v>
      </c>
      <c r="C85" s="18" t="inlineStr">
        <is>
          <t>SSA</t>
        </is>
      </c>
      <c r="D85" s="20" t="n">
        <v>2865</v>
      </c>
      <c r="E85" s="20" t="n">
        <v>0</v>
      </c>
      <c r="F85" s="20" t="n">
        <v>0</v>
      </c>
      <c r="G85" s="21">
        <f>D85-E85-F85</f>
        <v/>
      </c>
      <c r="H85" s="18" t="inlineStr">
        <is>
          <t>Tom</t>
        </is>
      </c>
      <c r="I85" s="18" t="n"/>
      <c r="J85" s="18" t="inlineStr">
        <is>
          <t>SSA Tom (full month received this week)</t>
        </is>
      </c>
      <c r="K85" s="18" t="n">
        <v>2026</v>
      </c>
      <c r="L85" s="18" t="inlineStr">
        <is>
          <t>Trends R91 2026-03-06</t>
        </is>
      </c>
      <c r="M85" s="18" t="n"/>
    </row>
    <row r="86">
      <c r="A86" s="18" t="inlineStr">
        <is>
          <t>Car</t>
        </is>
      </c>
      <c r="B86" s="19" t="n">
        <v>46094</v>
      </c>
      <c r="C86" s="18" t="inlineStr">
        <is>
          <t>Withdrawal</t>
        </is>
      </c>
      <c r="D86" s="20" t="n">
        <v>650</v>
      </c>
      <c r="E86" s="20" t="n">
        <v>0</v>
      </c>
      <c r="F86" s="20" t="n">
        <v>0</v>
      </c>
      <c r="G86" s="21">
        <f>D86-E86-F86</f>
        <v/>
      </c>
      <c r="H86" s="18" t="n"/>
      <c r="I86" s="18" t="n"/>
      <c r="J86" s="18" t="inlineStr">
        <is>
          <t>Car account withdrawal (Trends AC)</t>
        </is>
      </c>
      <c r="K86" s="18" t="n">
        <v>2026</v>
      </c>
      <c r="L86" s="18" t="inlineStr">
        <is>
          <t>Trends R92 2026-03-13</t>
        </is>
      </c>
      <c r="M86" s="18" t="n"/>
    </row>
    <row r="87">
      <c r="A87" s="18" t="inlineStr">
        <is>
          <t>Income</t>
        </is>
      </c>
      <c r="B87" s="19" t="n">
        <v>46101</v>
      </c>
      <c r="C87" s="18" t="inlineStr">
        <is>
          <t>IRA_Distribution</t>
        </is>
      </c>
      <c r="D87" s="20" t="n">
        <v>79.70999999999999</v>
      </c>
      <c r="E87" s="20" t="n">
        <v>11.95</v>
      </c>
      <c r="F87" s="20" t="n">
        <v>4.78</v>
      </c>
      <c r="G87" s="21">
        <f>D87-E87-F87</f>
        <v/>
      </c>
      <c r="H87" s="18" t="n"/>
      <c r="I87" s="18" t="n"/>
      <c r="J87" s="18" t="inlineStr">
        <is>
          <t>Income Acct Disbursement (net in Trends U)</t>
        </is>
      </c>
      <c r="K87" s="18" t="n">
        <v>2026</v>
      </c>
      <c r="L87" s="18" t="inlineStr">
        <is>
          <t>Trends R93 2026-03-20</t>
        </is>
      </c>
      <c r="M87" s="18" t="n"/>
    </row>
    <row r="88">
      <c r="A88" s="18" t="inlineStr">
        <is>
          <t>Income</t>
        </is>
      </c>
      <c r="B88" s="19" t="n">
        <v>46108</v>
      </c>
      <c r="C88" s="18" t="inlineStr">
        <is>
          <t>IRA_Distribution</t>
        </is>
      </c>
      <c r="D88" s="20" t="n">
        <v>1089</v>
      </c>
      <c r="E88" s="20" t="n">
        <v>121</v>
      </c>
      <c r="F88" s="20" t="n">
        <v>44</v>
      </c>
      <c r="G88" s="21">
        <f>D88-E88-F88</f>
        <v/>
      </c>
      <c r="H88" s="18" t="n"/>
      <c r="I88" s="18" t="n"/>
      <c r="J88" s="18" t="inlineStr">
        <is>
          <t>Income Acct Disbursement (net in Trends U)</t>
        </is>
      </c>
      <c r="K88" s="18" t="n">
        <v>2026</v>
      </c>
      <c r="L88" s="18" t="inlineStr">
        <is>
          <t>Trends R94 2026-03-27</t>
        </is>
      </c>
      <c r="M88" s="18" t="n"/>
    </row>
    <row r="89">
      <c r="A89" s="18" t="inlineStr">
        <is>
          <t>Income</t>
        </is>
      </c>
      <c r="B89" s="19" t="n">
        <v>46122</v>
      </c>
      <c r="C89" s="18" t="inlineStr">
        <is>
          <t>IRA_Distribution</t>
        </is>
      </c>
      <c r="D89" s="20" t="n">
        <v>1000</v>
      </c>
      <c r="E89" s="20" t="n">
        <v>120</v>
      </c>
      <c r="F89" s="20" t="n">
        <v>50</v>
      </c>
      <c r="G89" s="21">
        <f>D89-E89-F89</f>
        <v/>
      </c>
      <c r="H89" s="18" t="n"/>
      <c r="I89" s="18" t="n"/>
      <c r="J89" s="18" t="inlineStr">
        <is>
          <t>Income Acct Disbursement (net in Trends U)</t>
        </is>
      </c>
      <c r="K89" s="18" t="n">
        <v>2026</v>
      </c>
      <c r="L89" s="18" t="inlineStr">
        <is>
          <t>Trends R96 2026-04-10</t>
        </is>
      </c>
      <c r="M89" s="18" t="n"/>
    </row>
    <row r="90">
      <c r="A90" s="18" t="inlineStr">
        <is>
          <t>External</t>
        </is>
      </c>
      <c r="B90" s="19" t="n">
        <v>46122</v>
      </c>
      <c r="C90" s="18" t="inlineStr">
        <is>
          <t>SSA</t>
        </is>
      </c>
      <c r="D90" s="20" t="n">
        <v>2865</v>
      </c>
      <c r="E90" s="20" t="n">
        <v>0</v>
      </c>
      <c r="F90" s="20" t="n">
        <v>0</v>
      </c>
      <c r="G90" s="21">
        <f>D90-E90-F90</f>
        <v/>
      </c>
      <c r="H90" s="18" t="inlineStr">
        <is>
          <t>Tom</t>
        </is>
      </c>
      <c r="I90" s="18" t="n"/>
      <c r="J90" s="18" t="inlineStr">
        <is>
          <t>SSA Tom (full month received this week)</t>
        </is>
      </c>
      <c r="K90" s="18" t="n">
        <v>2026</v>
      </c>
      <c r="L90" s="18" t="inlineStr">
        <is>
          <t>Trends R96 2026-04-10</t>
        </is>
      </c>
      <c r="M90" s="18" t="n"/>
    </row>
    <row r="91">
      <c r="A91" s="18" t="inlineStr">
        <is>
          <t>Car</t>
        </is>
      </c>
      <c r="B91" s="19" t="n">
        <v>46122</v>
      </c>
      <c r="C91" s="18" t="inlineStr">
        <is>
          <t>Withdrawal</t>
        </is>
      </c>
      <c r="D91" s="20" t="n">
        <v>850</v>
      </c>
      <c r="E91" s="20" t="n">
        <v>0</v>
      </c>
      <c r="F91" s="20" t="n">
        <v>0</v>
      </c>
      <c r="G91" s="21">
        <f>D91-E91-F91</f>
        <v/>
      </c>
      <c r="H91" s="18" t="n"/>
      <c r="I91" s="18" t="n"/>
      <c r="J91" s="18" t="inlineStr">
        <is>
          <t>Car account withdrawal (Trends AC)</t>
        </is>
      </c>
      <c r="K91" s="18" t="n">
        <v>2026</v>
      </c>
      <c r="L91" s="18" t="inlineStr">
        <is>
          <t>Trends R96 2026-04-10</t>
        </is>
      </c>
      <c r="M91" s="18" t="n"/>
    </row>
    <row r="92">
      <c r="A92" s="18" t="inlineStr">
        <is>
          <t>Income</t>
        </is>
      </c>
      <c r="B92" s="19" t="n">
        <v>46129</v>
      </c>
      <c r="C92" s="18" t="inlineStr">
        <is>
          <t>IRA_Distribution</t>
        </is>
      </c>
      <c r="D92" s="20" t="n">
        <v>1000</v>
      </c>
      <c r="E92" s="20" t="n">
        <v>130</v>
      </c>
      <c r="F92" s="20" t="n">
        <v>50</v>
      </c>
      <c r="G92" s="21">
        <f>D92-E92-F92</f>
        <v/>
      </c>
      <c r="H92" s="18" t="n"/>
      <c r="I92" s="18" t="n"/>
      <c r="J92" s="18" t="inlineStr">
        <is>
          <t>Income Acct Disbursement (net in Trends U)</t>
        </is>
      </c>
      <c r="K92" s="18" t="n">
        <v>2026</v>
      </c>
      <c r="L92" s="18" t="inlineStr">
        <is>
          <t>Trends R97 2026-04-17</t>
        </is>
      </c>
      <c r="M92" s="18" t="n"/>
    </row>
    <row r="93">
      <c r="A93" s="18" t="inlineStr">
        <is>
          <t>Income</t>
        </is>
      </c>
      <c r="B93" s="19" t="n">
        <v>46136</v>
      </c>
      <c r="C93" s="18" t="inlineStr">
        <is>
          <t>IRA_Distribution</t>
        </is>
      </c>
      <c r="D93" s="20" t="n">
        <v>1000</v>
      </c>
      <c r="E93" s="20" t="n">
        <v>130</v>
      </c>
      <c r="F93" s="20" t="n">
        <v>50</v>
      </c>
      <c r="G93" s="21">
        <f>D93-E93-F93</f>
        <v/>
      </c>
      <c r="H93" s="18" t="n"/>
      <c r="I93" s="18" t="n"/>
      <c r="J93" s="18" t="inlineStr">
        <is>
          <t>Income Acct Disbursement (net in Trends U)</t>
        </is>
      </c>
      <c r="K93" s="18" t="n">
        <v>2026</v>
      </c>
      <c r="L93" s="18" t="inlineStr">
        <is>
          <t>Trends R98 2026-04-24</t>
        </is>
      </c>
      <c r="M93" s="18" t="n"/>
    </row>
    <row r="94">
      <c r="A94" s="18" t="inlineStr">
        <is>
          <t>Income</t>
        </is>
      </c>
      <c r="B94" s="19" t="n">
        <v>46143</v>
      </c>
      <c r="C94" s="18" t="inlineStr">
        <is>
          <t>IRA_Distribution</t>
        </is>
      </c>
      <c r="D94" s="20" t="n">
        <v>802.1</v>
      </c>
      <c r="E94" s="20" t="n">
        <v>128.8</v>
      </c>
      <c r="F94" s="20" t="n">
        <v>48.3</v>
      </c>
      <c r="G94" s="21">
        <f>D94-E94-F94</f>
        <v/>
      </c>
      <c r="H94" s="18" t="n"/>
      <c r="I94" s="18" t="n"/>
      <c r="J94" s="18" t="inlineStr">
        <is>
          <t>Income Acct Disbursement (net in Trends U)</t>
        </is>
      </c>
      <c r="K94" s="18" t="n">
        <v>2026</v>
      </c>
      <c r="L94" s="18" t="inlineStr">
        <is>
          <t>Trends R99 2026-05-01</t>
        </is>
      </c>
      <c r="M94" s="18" t="n"/>
    </row>
    <row r="95">
      <c r="A95" s="18" t="inlineStr">
        <is>
          <t>FI Roth</t>
        </is>
      </c>
      <c r="B95" s="19" t="n">
        <v>46143</v>
      </c>
      <c r="C95" s="18" t="inlineStr">
        <is>
          <t>Roth_Distribution</t>
        </is>
      </c>
      <c r="D95" s="20" t="n">
        <v>195</v>
      </c>
      <c r="E95" s="20" t="n">
        <v>0</v>
      </c>
      <c r="F95" s="20" t="n">
        <v>0</v>
      </c>
      <c r="G95" s="21">
        <f>D95-E95-F95</f>
        <v/>
      </c>
      <c r="H95" s="18" t="n"/>
      <c r="I95" s="18" t="n"/>
      <c r="J95" s="18" t="inlineStr">
        <is>
          <t>Roth distribution (Trends AA)</t>
        </is>
      </c>
      <c r="K95" s="18" t="n">
        <v>2026</v>
      </c>
      <c r="L95" s="18" t="inlineStr">
        <is>
          <t>Trends R99 2026-05-01</t>
        </is>
      </c>
      <c r="M95" s="18" t="n"/>
    </row>
    <row r="96">
      <c r="A96" s="18" t="inlineStr">
        <is>
          <t>9</t>
        </is>
      </c>
      <c r="B96" s="19" t="n">
        <v>46143</v>
      </c>
      <c r="C96" s="18" t="inlineStr">
        <is>
          <t>IRA_Distribution</t>
        </is>
      </c>
      <c r="D96" s="20" t="n">
        <v>200</v>
      </c>
      <c r="E96" s="20" t="n">
        <v>0</v>
      </c>
      <c r="F96" s="20" t="n">
        <v>0</v>
      </c>
      <c r="G96" s="21">
        <f>D96-E96-F96</f>
        <v/>
      </c>
      <c r="H96" s="18" t="n"/>
      <c r="I96" s="18" t="n"/>
      <c r="J96" s="18" t="inlineStr">
        <is>
          <t>Acct 9 IRA distribution (Trends AB)</t>
        </is>
      </c>
      <c r="K96" s="18" t="n">
        <v>2026</v>
      </c>
      <c r="L96" s="18" t="inlineStr">
        <is>
          <t>Trends R99 2026-05-01</t>
        </is>
      </c>
      <c r="M96" s="18" t="n"/>
    </row>
    <row r="97">
      <c r="A97" s="18" t="inlineStr">
        <is>
          <t>Income</t>
        </is>
      </c>
      <c r="B97" s="19" t="n">
        <v>46150</v>
      </c>
      <c r="C97" s="18" t="inlineStr">
        <is>
          <t>IRA_Distribution</t>
        </is>
      </c>
      <c r="D97" s="20" t="n">
        <v>1000</v>
      </c>
      <c r="E97" s="20" t="n">
        <v>130</v>
      </c>
      <c r="F97" s="20" t="n">
        <v>50</v>
      </c>
      <c r="G97" s="21">
        <f>D97-E97-F97</f>
        <v/>
      </c>
      <c r="H97" s="18" t="n"/>
      <c r="I97" s="18" t="n"/>
      <c r="J97" s="18" t="inlineStr">
        <is>
          <t>Income Acct Disbursement (net in Trends U)</t>
        </is>
      </c>
      <c r="K97" s="18" t="n">
        <v>2026</v>
      </c>
      <c r="L97" s="18" t="inlineStr">
        <is>
          <t>Trends R100 2026-05-08</t>
        </is>
      </c>
      <c r="M97" s="18" t="n"/>
    </row>
    <row r="98">
      <c r="A98" s="18" t="inlineStr">
        <is>
          <t>External</t>
        </is>
      </c>
      <c r="B98" s="19" t="n">
        <v>46150</v>
      </c>
      <c r="C98" s="18" t="inlineStr">
        <is>
          <t>SSA</t>
        </is>
      </c>
      <c r="D98" s="20" t="n">
        <v>2865</v>
      </c>
      <c r="E98" s="20" t="n">
        <v>0</v>
      </c>
      <c r="F98" s="20" t="n">
        <v>0</v>
      </c>
      <c r="G98" s="21">
        <f>D98-E98-F98</f>
        <v/>
      </c>
      <c r="H98" s="18" t="inlineStr">
        <is>
          <t>Tom</t>
        </is>
      </c>
      <c r="I98" s="18" t="n"/>
      <c r="J98" s="18" t="inlineStr">
        <is>
          <t>SSA Tom (full month received this week)</t>
        </is>
      </c>
      <c r="K98" s="18" t="n">
        <v>2026</v>
      </c>
      <c r="L98" s="18" t="inlineStr">
        <is>
          <t>Trends R100 2026-05-08</t>
        </is>
      </c>
      <c r="M98" s="18" t="n"/>
    </row>
    <row r="99">
      <c r="A99" s="18" t="inlineStr">
        <is>
          <t>Income</t>
        </is>
      </c>
      <c r="B99" s="19" t="n">
        <v>46157</v>
      </c>
      <c r="C99" s="18" t="inlineStr">
        <is>
          <t>IRA_Distribution</t>
        </is>
      </c>
      <c r="D99" s="20" t="n">
        <v>225</v>
      </c>
      <c r="E99" s="20" t="n">
        <v>159.75</v>
      </c>
      <c r="F99" s="20" t="n">
        <v>63</v>
      </c>
      <c r="G99" s="21">
        <f>D99-E99-F99</f>
        <v/>
      </c>
      <c r="H99" s="18" t="n"/>
      <c r="I99" s="18" t="n"/>
      <c r="J99" s="18" t="inlineStr">
        <is>
          <t>Income Acct Disbursement (net in Trends U)</t>
        </is>
      </c>
      <c r="K99" s="18" t="n">
        <v>2026</v>
      </c>
      <c r="L99" s="18" t="inlineStr">
        <is>
          <t>Trends R101 2026-05-15</t>
        </is>
      </c>
      <c r="M99" s="18" t="n"/>
    </row>
    <row r="100">
      <c r="A100" s="18" t="inlineStr">
        <is>
          <t>External</t>
        </is>
      </c>
      <c r="B100" s="19" t="n">
        <v>46157</v>
      </c>
      <c r="C100" s="18" t="inlineStr">
        <is>
          <t>SSA</t>
        </is>
      </c>
      <c r="D100" s="20" t="n">
        <v>1331</v>
      </c>
      <c r="E100" s="20" t="n">
        <v>0</v>
      </c>
      <c r="F100" s="20" t="n">
        <v>0</v>
      </c>
      <c r="G100" s="21">
        <f>D100-E100-F100</f>
        <v/>
      </c>
      <c r="H100" s="18" t="inlineStr">
        <is>
          <t>Barb</t>
        </is>
      </c>
      <c r="I100" s="18" t="n"/>
      <c r="J100" s="18" t="inlineStr">
        <is>
          <t>SSA Barb (full month received this week)</t>
        </is>
      </c>
      <c r="K100" s="18" t="n">
        <v>2026</v>
      </c>
      <c r="L100" s="18" t="inlineStr">
        <is>
          <t>Trends R101 2026-05-15</t>
        </is>
      </c>
      <c r="M100" s="18" t="n"/>
    </row>
    <row r="101">
      <c r="A101" s="18" t="inlineStr">
        <is>
          <t>Car</t>
        </is>
      </c>
      <c r="B101" s="19" t="n">
        <v>46157</v>
      </c>
      <c r="C101" s="18" t="inlineStr">
        <is>
          <t>Withdrawal</t>
        </is>
      </c>
      <c r="D101" s="20" t="n">
        <v>850</v>
      </c>
      <c r="E101" s="20" t="n">
        <v>0</v>
      </c>
      <c r="F101" s="20" t="n">
        <v>0</v>
      </c>
      <c r="G101" s="21">
        <f>D101-E101-F101</f>
        <v/>
      </c>
      <c r="H101" s="18" t="n"/>
      <c r="I101" s="18" t="n"/>
      <c r="J101" s="18" t="inlineStr">
        <is>
          <t>Car account withdrawal (Trends AC)</t>
        </is>
      </c>
      <c r="K101" s="18" t="n">
        <v>2026</v>
      </c>
      <c r="L101" s="18" t="inlineStr">
        <is>
          <t>Trends R101 2026-05-15</t>
        </is>
      </c>
      <c r="M101" s="18" t="n"/>
    </row>
    <row r="102">
      <c r="A102" s="18" t="inlineStr">
        <is>
          <t>Income</t>
        </is>
      </c>
      <c r="B102" s="19" t="n">
        <v>46164</v>
      </c>
      <c r="C102" s="18" t="inlineStr">
        <is>
          <t>IRA_Distribution</t>
        </is>
      </c>
      <c r="D102" s="20" t="n">
        <v>225</v>
      </c>
      <c r="E102" s="20" t="n">
        <v>159.75</v>
      </c>
      <c r="F102" s="20" t="n">
        <v>63</v>
      </c>
      <c r="G102" s="21">
        <f>D102-E102-F102</f>
        <v/>
      </c>
      <c r="H102" s="18" t="n"/>
      <c r="I102" s="18" t="n"/>
      <c r="J102" s="18" t="inlineStr">
        <is>
          <t>Income Acct Disbursement (net in Trends U)</t>
        </is>
      </c>
      <c r="K102" s="18" t="n">
        <v>2026</v>
      </c>
      <c r="L102" s="18" t="inlineStr">
        <is>
          <t>Trends R102 2026-05-22</t>
        </is>
      </c>
      <c r="M102" s="18" t="n"/>
    </row>
    <row r="103">
      <c r="A103" s="18" t="inlineStr">
        <is>
          <t>Income</t>
        </is>
      </c>
      <c r="B103" s="19" t="n">
        <v>46171</v>
      </c>
      <c r="C103" s="18" t="inlineStr">
        <is>
          <t>IRA_Distribution</t>
        </is>
      </c>
      <c r="D103" s="20" t="n">
        <v>225</v>
      </c>
      <c r="E103" s="20" t="n">
        <v>159.75</v>
      </c>
      <c r="F103" s="20" t="n">
        <v>63</v>
      </c>
      <c r="G103" s="21">
        <f>D103-E103-F103</f>
        <v/>
      </c>
      <c r="H103" s="18" t="n"/>
      <c r="I103" s="18" t="n"/>
      <c r="J103" s="18" t="inlineStr">
        <is>
          <t>Income Acct Disbursement (net in Trends U)</t>
        </is>
      </c>
      <c r="K103" s="18" t="n">
        <v>2026</v>
      </c>
      <c r="L103" s="18" t="inlineStr">
        <is>
          <t>Trends R103 2026-05-29</t>
        </is>
      </c>
      <c r="M103" s="18" t="n"/>
    </row>
    <row r="104">
      <c r="A104" s="18" t="inlineStr">
        <is>
          <t>Income</t>
        </is>
      </c>
      <c r="B104" s="19" t="n">
        <v>46178</v>
      </c>
      <c r="C104" s="18" t="inlineStr">
        <is>
          <t>IRA_Distribution</t>
        </is>
      </c>
      <c r="D104" s="20" t="n">
        <v>250</v>
      </c>
      <c r="E104" s="20" t="n">
        <v>177.5</v>
      </c>
      <c r="F104" s="20" t="n">
        <v>70</v>
      </c>
      <c r="G104" s="21">
        <f>D104-E104-F104</f>
        <v/>
      </c>
      <c r="H104" s="18" t="n"/>
      <c r="I104" s="18" t="n"/>
      <c r="J104" s="18" t="inlineStr">
        <is>
          <t>Income Acct Disbursement (net in Trends U)</t>
        </is>
      </c>
      <c r="K104" s="18" t="n">
        <v>2026</v>
      </c>
      <c r="L104" s="18" t="inlineStr">
        <is>
          <t>Trends R104 2026-06-05</t>
        </is>
      </c>
      <c r="M104" s="18" t="n"/>
    </row>
    <row r="105">
      <c r="A105" s="18" t="inlineStr">
        <is>
          <t>External</t>
        </is>
      </c>
      <c r="B105" s="19" t="n">
        <v>46178</v>
      </c>
      <c r="C105" s="18" t="inlineStr">
        <is>
          <t>SSA</t>
        </is>
      </c>
      <c r="D105" s="20" t="n">
        <v>2865</v>
      </c>
      <c r="E105" s="20" t="n">
        <v>0</v>
      </c>
      <c r="F105" s="20" t="n">
        <v>0</v>
      </c>
      <c r="G105" s="21">
        <f>D105-E105-F105</f>
        <v/>
      </c>
      <c r="H105" s="18" t="inlineStr">
        <is>
          <t>Tom</t>
        </is>
      </c>
      <c r="I105" s="18" t="n"/>
      <c r="J105" s="18" t="inlineStr">
        <is>
          <t>SSA Tom (full month received this week)</t>
        </is>
      </c>
      <c r="K105" s="18" t="n">
        <v>2026</v>
      </c>
      <c r="L105" s="18" t="inlineStr">
        <is>
          <t>Trends R104 2026-06-05</t>
        </is>
      </c>
      <c r="M105" s="18" t="n"/>
    </row>
    <row r="106">
      <c r="A106" s="18" t="inlineStr">
        <is>
          <t>Income</t>
        </is>
      </c>
      <c r="B106" s="19" t="n">
        <v>46185</v>
      </c>
      <c r="C106" s="18" t="inlineStr">
        <is>
          <t>IRA_Distribution</t>
        </is>
      </c>
      <c r="D106" s="20" t="n">
        <v>250</v>
      </c>
      <c r="E106" s="20" t="n">
        <v>177.5</v>
      </c>
      <c r="F106" s="20" t="n">
        <v>70</v>
      </c>
      <c r="G106" s="21">
        <f>D106-E106-F106</f>
        <v/>
      </c>
      <c r="H106" s="18" t="n"/>
      <c r="I106" s="18" t="n"/>
      <c r="J106" s="18" t="inlineStr">
        <is>
          <t>Income Acct Disbursement (net in Trends U)</t>
        </is>
      </c>
      <c r="K106" s="18" t="n">
        <v>2026</v>
      </c>
      <c r="L106" s="18" t="inlineStr">
        <is>
          <t>Trends R105 2026-06-12</t>
        </is>
      </c>
      <c r="M106" s="18" t="n"/>
    </row>
    <row r="107">
      <c r="A107" s="18" t="inlineStr">
        <is>
          <t>External</t>
        </is>
      </c>
      <c r="B107" s="19" t="n">
        <v>46185</v>
      </c>
      <c r="C107" s="18" t="inlineStr">
        <is>
          <t>SSA</t>
        </is>
      </c>
      <c r="D107" s="20" t="n">
        <v>1331</v>
      </c>
      <c r="E107" s="20" t="n">
        <v>0</v>
      </c>
      <c r="F107" s="20" t="n">
        <v>0</v>
      </c>
      <c r="G107" s="21">
        <f>D107-E107-F107</f>
        <v/>
      </c>
      <c r="H107" s="18" t="inlineStr">
        <is>
          <t>Barb</t>
        </is>
      </c>
      <c r="I107" s="18" t="n"/>
      <c r="J107" s="18" t="inlineStr">
        <is>
          <t>SSA Barb (full month received this week)</t>
        </is>
      </c>
      <c r="K107" s="18" t="n">
        <v>2026</v>
      </c>
      <c r="L107" s="18" t="inlineStr">
        <is>
          <t>Trends R105 2026-06-12</t>
        </is>
      </c>
      <c r="M107" s="18" t="n"/>
    </row>
    <row r="108">
      <c r="A108" s="18" t="inlineStr">
        <is>
          <t>Car</t>
        </is>
      </c>
      <c r="B108" s="19" t="n">
        <v>46185</v>
      </c>
      <c r="C108" s="18" t="inlineStr">
        <is>
          <t>Withdrawal</t>
        </is>
      </c>
      <c r="D108" s="20" t="n">
        <v>850</v>
      </c>
      <c r="E108" s="20" t="n">
        <v>0</v>
      </c>
      <c r="F108" s="20" t="n">
        <v>0</v>
      </c>
      <c r="G108" s="21">
        <f>D108-E108-F108</f>
        <v/>
      </c>
      <c r="H108" s="18" t="n"/>
      <c r="I108" s="18" t="n"/>
      <c r="J108" s="18" t="inlineStr">
        <is>
          <t>Car account withdrawal (Trends AC)</t>
        </is>
      </c>
      <c r="K108" s="18" t="n">
        <v>2026</v>
      </c>
      <c r="L108" s="18" t="inlineStr">
        <is>
          <t>Trends R105 2026-06-12</t>
        </is>
      </c>
      <c r="M108" s="18" t="n"/>
    </row>
    <row r="109">
      <c r="A109" s="18" t="inlineStr">
        <is>
          <t>Income</t>
        </is>
      </c>
      <c r="B109" s="19" t="n">
        <v>46192</v>
      </c>
      <c r="C109" s="18" t="inlineStr">
        <is>
          <t>IRA_Distribution</t>
        </is>
      </c>
      <c r="D109" s="20" t="n">
        <v>250</v>
      </c>
      <c r="E109" s="20" t="n">
        <v>177.5</v>
      </c>
      <c r="F109" s="20" t="n">
        <v>70</v>
      </c>
      <c r="G109" s="21">
        <f>D109-E109-F109</f>
        <v/>
      </c>
      <c r="H109" s="18" t="n"/>
      <c r="I109" s="18" t="n"/>
      <c r="J109" s="18" t="inlineStr">
        <is>
          <t>Income Acct Disbursement (net in Trends U)</t>
        </is>
      </c>
      <c r="K109" s="18" t="n">
        <v>2026</v>
      </c>
      <c r="L109" s="18" t="inlineStr">
        <is>
          <t>Trends R106 2026-06-19</t>
        </is>
      </c>
      <c r="M109" s="18" t="n"/>
    </row>
    <row r="110">
      <c r="A110" s="18" t="inlineStr">
        <is>
          <t>Income</t>
        </is>
      </c>
      <c r="B110" s="19" t="n">
        <v>46199</v>
      </c>
      <c r="C110" s="18" t="inlineStr">
        <is>
          <t>IRA_Distribution</t>
        </is>
      </c>
      <c r="D110" s="20" t="n">
        <v>250</v>
      </c>
      <c r="E110" s="20" t="n">
        <v>177.5</v>
      </c>
      <c r="F110" s="20" t="n">
        <v>70</v>
      </c>
      <c r="G110" s="21">
        <f>D110-E110-F110</f>
        <v/>
      </c>
      <c r="H110" s="18" t="n"/>
      <c r="I110" s="18" t="n"/>
      <c r="J110" s="18" t="inlineStr">
        <is>
          <t>Income Acct Disbursement (net in Trends U)</t>
        </is>
      </c>
      <c r="K110" s="18" t="n">
        <v>2026</v>
      </c>
      <c r="L110" s="18" t="inlineStr">
        <is>
          <t>Trends R107 2026-06-26</t>
        </is>
      </c>
      <c r="M110" s="18" t="n"/>
    </row>
    <row r="111">
      <c r="A111" s="18" t="inlineStr">
        <is>
          <t>External</t>
        </is>
      </c>
      <c r="B111" s="19" t="n">
        <v>46199</v>
      </c>
      <c r="C111" s="18" t="inlineStr">
        <is>
          <t>SSA</t>
        </is>
      </c>
      <c r="D111" s="20" t="n">
        <v>2865</v>
      </c>
      <c r="E111" s="20" t="n">
        <v>0</v>
      </c>
      <c r="F111" s="20" t="n">
        <v>0</v>
      </c>
      <c r="G111" s="21">
        <f>D111-E111-F111</f>
        <v/>
      </c>
      <c r="H111" s="18" t="inlineStr">
        <is>
          <t>Tom</t>
        </is>
      </c>
      <c r="I111" s="18" t="n"/>
      <c r="J111" s="18" t="inlineStr">
        <is>
          <t>SSA Tom (full month received this week)</t>
        </is>
      </c>
      <c r="K111" s="18" t="n">
        <v>2026</v>
      </c>
      <c r="L111" s="18" t="inlineStr">
        <is>
          <t>Trends R107 2026-06-26</t>
        </is>
      </c>
      <c r="M111" s="18" t="n"/>
    </row>
    <row r="112">
      <c r="A112" s="18" t="inlineStr">
        <is>
          <t>Income</t>
        </is>
      </c>
      <c r="B112" s="19" t="n">
        <v>46206</v>
      </c>
      <c r="C112" s="18" t="inlineStr">
        <is>
          <t>IRA_Distribution</t>
        </is>
      </c>
      <c r="D112" s="20" t="n">
        <v>250</v>
      </c>
      <c r="E112" s="20" t="n">
        <v>177.5</v>
      </c>
      <c r="F112" s="20" t="n">
        <v>70</v>
      </c>
      <c r="G112" s="21">
        <f>D112-E112-F112</f>
        <v/>
      </c>
      <c r="H112" s="18" t="n"/>
      <c r="I112" s="18" t="n"/>
      <c r="J112" s="18" t="inlineStr">
        <is>
          <t>Income Acct Disbursement (net in Trends U)</t>
        </is>
      </c>
      <c r="K112" s="18" t="n">
        <v>2026</v>
      </c>
      <c r="L112" s="18" t="inlineStr">
        <is>
          <t>Trends R108 2026-07-03</t>
        </is>
      </c>
      <c r="M112" s="18" t="n"/>
    </row>
    <row r="113">
      <c r="A113" s="18" t="inlineStr">
        <is>
          <t>External</t>
        </is>
      </c>
      <c r="B113" s="19" t="n">
        <v>46206</v>
      </c>
      <c r="C113" s="18" t="inlineStr">
        <is>
          <t>SSA</t>
        </is>
      </c>
      <c r="D113" s="20" t="n">
        <v>1331</v>
      </c>
      <c r="E113" s="20" t="n">
        <v>0</v>
      </c>
      <c r="F113" s="20" t="n">
        <v>0</v>
      </c>
      <c r="G113" s="21">
        <f>D113-E113-F113</f>
        <v/>
      </c>
      <c r="H113" s="18" t="inlineStr">
        <is>
          <t>Barb</t>
        </is>
      </c>
      <c r="I113" s="18" t="n"/>
      <c r="J113" s="18" t="inlineStr">
        <is>
          <t>SSA Barb (full month received this week)</t>
        </is>
      </c>
      <c r="K113" s="18" t="n">
        <v>2026</v>
      </c>
      <c r="L113" s="18" t="inlineStr">
        <is>
          <t>Trends R108 2026-07-03</t>
        </is>
      </c>
      <c r="M113" s="18" t="n"/>
    </row>
    <row r="114">
      <c r="A114" s="18" t="inlineStr">
        <is>
          <t>Income</t>
        </is>
      </c>
      <c r="B114" s="19" t="n">
        <v>46213</v>
      </c>
      <c r="C114" s="18" t="inlineStr">
        <is>
          <t>IRA_Distribution</t>
        </is>
      </c>
      <c r="D114" s="20" t="n">
        <v>250</v>
      </c>
      <c r="E114" s="20" t="n">
        <v>177.5</v>
      </c>
      <c r="F114" s="20" t="n">
        <v>70</v>
      </c>
      <c r="G114" s="21">
        <f>D114-E114-F114</f>
        <v/>
      </c>
      <c r="H114" s="18" t="n"/>
      <c r="I114" s="18" t="n"/>
      <c r="J114" s="18" t="inlineStr">
        <is>
          <t>Income Acct Disbursement (net in Trends U)</t>
        </is>
      </c>
      <c r="K114" s="18" t="n">
        <v>2026</v>
      </c>
      <c r="L114" s="18" t="inlineStr">
        <is>
          <t>Trends R109 2026-07-10</t>
        </is>
      </c>
      <c r="M114" s="18" t="n"/>
    </row>
    <row r="115">
      <c r="A115" s="18" t="inlineStr">
        <is>
          <t>Income</t>
        </is>
      </c>
      <c r="B115" s="19" t="n">
        <v>46220</v>
      </c>
      <c r="C115" s="18" t="inlineStr">
        <is>
          <t>IRA_Distribution</t>
        </is>
      </c>
      <c r="D115" s="20" t="n">
        <v>250</v>
      </c>
      <c r="E115" s="20" t="n">
        <v>177.5</v>
      </c>
      <c r="F115" s="20" t="n">
        <v>70</v>
      </c>
      <c r="G115" s="21">
        <f>D115-E115-F115</f>
        <v/>
      </c>
      <c r="H115" s="18" t="n"/>
      <c r="I115" s="18" t="n"/>
      <c r="J115" s="18" t="inlineStr">
        <is>
          <t>Income Acct Disbursement (net in Trends U)</t>
        </is>
      </c>
      <c r="K115" s="18" t="n">
        <v>2026</v>
      </c>
      <c r="L115" s="18" t="inlineStr">
        <is>
          <t>Trends R110 2026-07-17</t>
        </is>
      </c>
      <c r="M115" s="18" t="n"/>
    </row>
    <row r="116">
      <c r="A116" s="18" t="inlineStr">
        <is>
          <t>Income</t>
        </is>
      </c>
      <c r="B116" s="19" t="n">
        <v>46227</v>
      </c>
      <c r="C116" s="18" t="inlineStr">
        <is>
          <t>IRA_Distribution</t>
        </is>
      </c>
      <c r="D116" s="20" t="n">
        <v>250</v>
      </c>
      <c r="E116" s="20" t="n">
        <v>177.5</v>
      </c>
      <c r="F116" s="20" t="n">
        <v>70</v>
      </c>
      <c r="G116" s="21">
        <f>D116-E116-F116</f>
        <v/>
      </c>
      <c r="H116" s="18" t="n"/>
      <c r="I116" s="18" t="n"/>
      <c r="J116" s="18" t="inlineStr">
        <is>
          <t>Income Acct Disbursement (net in Trends U)</t>
        </is>
      </c>
      <c r="K116" s="18" t="n">
        <v>2026</v>
      </c>
      <c r="L116" s="18" t="inlineStr">
        <is>
          <t>Trends R111 2026-07-24</t>
        </is>
      </c>
      <c r="M116" s="18" t="n"/>
    </row>
    <row r="117">
      <c r="A117" s="18" t="inlineStr">
        <is>
          <t>Income</t>
        </is>
      </c>
      <c r="B117" s="19" t="n">
        <v>46234</v>
      </c>
      <c r="C117" s="18" t="inlineStr">
        <is>
          <t>IRA_Distribution</t>
        </is>
      </c>
      <c r="D117" s="20" t="n">
        <v>1000</v>
      </c>
      <c r="E117" s="20" t="n">
        <v>130</v>
      </c>
      <c r="F117" s="20" t="n">
        <v>50</v>
      </c>
      <c r="G117" s="21">
        <f>D117-E117-F117</f>
        <v/>
      </c>
      <c r="H117" s="18" t="n"/>
      <c r="I117" s="18" t="n"/>
      <c r="J117" s="18" t="inlineStr">
        <is>
          <t>Income Acct Disbursement (net in Trends U)</t>
        </is>
      </c>
      <c r="K117" s="18" t="n">
        <v>2026</v>
      </c>
      <c r="L117" s="18" t="inlineStr">
        <is>
          <t>Trends R112 2026-07-31</t>
        </is>
      </c>
      <c r="M117" s="18" t="n"/>
    </row>
    <row r="118">
      <c r="A118" s="18" t="inlineStr">
        <is>
          <t>External</t>
        </is>
      </c>
      <c r="B118" s="19" t="n">
        <v>46150</v>
      </c>
      <c r="C118" s="18" t="inlineStr">
        <is>
          <t>Form_1099</t>
        </is>
      </c>
      <c r="D118" s="20" t="n">
        <v>2625</v>
      </c>
      <c r="E118" s="20" t="n">
        <v>0</v>
      </c>
      <c r="F118" s="20" t="n">
        <v>0</v>
      </c>
      <c r="G118" s="21">
        <f>D118-E118-F118</f>
        <v/>
      </c>
      <c r="H118" s="18" t="n"/>
      <c r="I118" s="18" t="n"/>
      <c r="J118" s="18" t="inlineStr">
        <is>
          <t>WPD company 1099 income (Trends col X)</t>
        </is>
      </c>
      <c r="K118" s="18" t="n">
        <v>2026</v>
      </c>
      <c r="L118" s="18" t="inlineStr">
        <is>
          <t>Trends R100 2026-05-08</t>
        </is>
      </c>
      <c r="M118" s="18" t="inlineStr">
        <is>
          <t>WPD</t>
        </is>
      </c>
    </row>
    <row r="119">
      <c r="A119" s="18" t="inlineStr">
        <is>
          <t>External</t>
        </is>
      </c>
      <c r="B119" s="19" t="n">
        <v>46157</v>
      </c>
      <c r="C119" s="18" t="inlineStr">
        <is>
          <t>Form_1099</t>
        </is>
      </c>
      <c r="D119" s="20" t="n">
        <v>1000</v>
      </c>
      <c r="E119" s="20" t="n">
        <v>0</v>
      </c>
      <c r="F119" s="20" t="n">
        <v>0</v>
      </c>
      <c r="G119" s="21">
        <f>D119-E119-F119</f>
        <v/>
      </c>
      <c r="H119" s="18" t="n"/>
      <c r="I119" s="18" t="n"/>
      <c r="J119" s="18" t="inlineStr">
        <is>
          <t>WPD company 1099 income (Trends col X)</t>
        </is>
      </c>
      <c r="K119" s="18" t="n">
        <v>2026</v>
      </c>
      <c r="L119" s="18" t="inlineStr">
        <is>
          <t>Trends R101 2026-05-15</t>
        </is>
      </c>
      <c r="M119" s="18" t="inlineStr">
        <is>
          <t>WPD</t>
        </is>
      </c>
    </row>
    <row r="120">
      <c r="A120" s="18" t="inlineStr">
        <is>
          <t>External</t>
        </is>
      </c>
      <c r="B120" s="19" t="n">
        <v>46164</v>
      </c>
      <c r="C120" s="18" t="inlineStr">
        <is>
          <t>Form_1099</t>
        </is>
      </c>
      <c r="D120" s="20" t="n">
        <v>1000</v>
      </c>
      <c r="E120" s="20" t="n">
        <v>0</v>
      </c>
      <c r="F120" s="20" t="n">
        <v>0</v>
      </c>
      <c r="G120" s="21">
        <f>D120-E120-F120</f>
        <v/>
      </c>
      <c r="H120" s="18" t="n"/>
      <c r="I120" s="18" t="n"/>
      <c r="J120" s="18" t="inlineStr">
        <is>
          <t>WPD company 1099 income (Trends col X)</t>
        </is>
      </c>
      <c r="K120" s="18" t="n">
        <v>2026</v>
      </c>
      <c r="L120" s="18" t="inlineStr">
        <is>
          <t>Trends R102 2026-05-22</t>
        </is>
      </c>
      <c r="M120" s="18" t="inlineStr">
        <is>
          <t>WPD</t>
        </is>
      </c>
    </row>
    <row r="121">
      <c r="A121" s="18" t="inlineStr">
        <is>
          <t>External</t>
        </is>
      </c>
      <c r="B121" s="19" t="n">
        <v>46171</v>
      </c>
      <c r="C121" s="18" t="inlineStr">
        <is>
          <t>Form_1099</t>
        </is>
      </c>
      <c r="D121" s="20" t="n">
        <v>1000</v>
      </c>
      <c r="E121" s="20" t="n">
        <v>0</v>
      </c>
      <c r="F121" s="20" t="n">
        <v>0</v>
      </c>
      <c r="G121" s="21">
        <f>D121-E121-F121</f>
        <v/>
      </c>
      <c r="H121" s="18" t="n"/>
      <c r="I121" s="18" t="n"/>
      <c r="J121" s="18" t="inlineStr">
        <is>
          <t>WPD company 1099 income (Trends col X)</t>
        </is>
      </c>
      <c r="K121" s="18" t="n">
        <v>2026</v>
      </c>
      <c r="L121" s="18" t="inlineStr">
        <is>
          <t>Trends R103 2026-05-29</t>
        </is>
      </c>
      <c r="M121" s="18" t="inlineStr">
        <is>
          <t>WPD</t>
        </is>
      </c>
    </row>
    <row r="122">
      <c r="A122" s="18" t="inlineStr">
        <is>
          <t>External</t>
        </is>
      </c>
      <c r="B122" s="19" t="n">
        <v>46178</v>
      </c>
      <c r="C122" s="18" t="inlineStr">
        <is>
          <t>Form_1099</t>
        </is>
      </c>
      <c r="D122" s="20" t="n">
        <v>1000</v>
      </c>
      <c r="E122" s="20" t="n">
        <v>0</v>
      </c>
      <c r="F122" s="20" t="n">
        <v>0</v>
      </c>
      <c r="G122" s="21">
        <f>D122-E122-F122</f>
        <v/>
      </c>
      <c r="H122" s="18" t="n"/>
      <c r="I122" s="18" t="n"/>
      <c r="J122" s="18" t="inlineStr">
        <is>
          <t>WPD company 1099 income (Trends col X)</t>
        </is>
      </c>
      <c r="K122" s="18" t="n">
        <v>2026</v>
      </c>
      <c r="L122" s="18" t="inlineStr">
        <is>
          <t>Trends R104 2026-06-05</t>
        </is>
      </c>
      <c r="M122" s="18" t="inlineStr">
        <is>
          <t>WPD</t>
        </is>
      </c>
    </row>
    <row r="123">
      <c r="A123" s="18" t="inlineStr">
        <is>
          <t>External</t>
        </is>
      </c>
      <c r="B123" s="19" t="n">
        <v>46185</v>
      </c>
      <c r="C123" s="18" t="inlineStr">
        <is>
          <t>Form_1099</t>
        </is>
      </c>
      <c r="D123" s="20" t="n">
        <v>1000</v>
      </c>
      <c r="E123" s="20" t="n">
        <v>0</v>
      </c>
      <c r="F123" s="20" t="n">
        <v>0</v>
      </c>
      <c r="G123" s="21">
        <f>D123-E123-F123</f>
        <v/>
      </c>
      <c r="H123" s="18" t="n"/>
      <c r="I123" s="18" t="n"/>
      <c r="J123" s="18" t="inlineStr">
        <is>
          <t>WPD company 1099 income (Trends col X)</t>
        </is>
      </c>
      <c r="K123" s="18" t="n">
        <v>2026</v>
      </c>
      <c r="L123" s="18" t="inlineStr">
        <is>
          <t>Trends R105 2026-06-12</t>
        </is>
      </c>
      <c r="M123" s="18" t="inlineStr">
        <is>
          <t>WPD</t>
        </is>
      </c>
    </row>
    <row r="124">
      <c r="A124" s="18" t="inlineStr">
        <is>
          <t>External</t>
        </is>
      </c>
      <c r="B124" s="19" t="n">
        <v>46192</v>
      </c>
      <c r="C124" s="18" t="inlineStr">
        <is>
          <t>Form_1099</t>
        </is>
      </c>
      <c r="D124" s="20" t="n">
        <v>1000</v>
      </c>
      <c r="E124" s="20" t="n">
        <v>0</v>
      </c>
      <c r="F124" s="20" t="n">
        <v>0</v>
      </c>
      <c r="G124" s="21">
        <f>D124-E124-F124</f>
        <v/>
      </c>
      <c r="H124" s="18" t="n"/>
      <c r="I124" s="18" t="n"/>
      <c r="J124" s="18" t="inlineStr">
        <is>
          <t>WPD company 1099 income (Trends col X)</t>
        </is>
      </c>
      <c r="K124" s="18" t="n">
        <v>2026</v>
      </c>
      <c r="L124" s="18" t="inlineStr">
        <is>
          <t>Trends R106 2026-06-19</t>
        </is>
      </c>
      <c r="M124" s="18" t="inlineStr">
        <is>
          <t>WPD</t>
        </is>
      </c>
    </row>
    <row r="125">
      <c r="A125" s="18" t="inlineStr">
        <is>
          <t>External</t>
        </is>
      </c>
      <c r="B125" s="19" t="n">
        <v>46199</v>
      </c>
      <c r="C125" s="18" t="inlineStr">
        <is>
          <t>Form_1099</t>
        </is>
      </c>
      <c r="D125" s="20" t="n">
        <v>1000</v>
      </c>
      <c r="E125" s="20" t="n">
        <v>0</v>
      </c>
      <c r="F125" s="20" t="n">
        <v>0</v>
      </c>
      <c r="G125" s="21">
        <f>D125-E125-F125</f>
        <v/>
      </c>
      <c r="H125" s="18" t="n"/>
      <c r="I125" s="18" t="n"/>
      <c r="J125" s="18" t="inlineStr">
        <is>
          <t>WPD company 1099 income (Trends col X)</t>
        </is>
      </c>
      <c r="K125" s="18" t="n">
        <v>2026</v>
      </c>
      <c r="L125" s="18" t="inlineStr">
        <is>
          <t>Trends R107 2026-06-26</t>
        </is>
      </c>
      <c r="M125" s="18" t="inlineStr">
        <is>
          <t>WPD</t>
        </is>
      </c>
    </row>
    <row r="126">
      <c r="A126" s="18" t="inlineStr">
        <is>
          <t>External</t>
        </is>
      </c>
      <c r="B126" s="19" t="n">
        <v>46206</v>
      </c>
      <c r="C126" s="18" t="inlineStr">
        <is>
          <t>Form_1099</t>
        </is>
      </c>
      <c r="D126" s="20" t="n">
        <v>1000</v>
      </c>
      <c r="E126" s="20" t="n">
        <v>0</v>
      </c>
      <c r="F126" s="20" t="n">
        <v>0</v>
      </c>
      <c r="G126" s="21">
        <f>D126-E126-F126</f>
        <v/>
      </c>
      <c r="H126" s="18" t="n"/>
      <c r="I126" s="18" t="n"/>
      <c r="J126" s="18" t="inlineStr">
        <is>
          <t>WPD company 1099 income (Trends col X)</t>
        </is>
      </c>
      <c r="K126" s="18" t="n">
        <v>2026</v>
      </c>
      <c r="L126" s="18" t="inlineStr">
        <is>
          <t>Trends R108 2026-07-03</t>
        </is>
      </c>
      <c r="M126" s="18" t="inlineStr">
        <is>
          <t>WPD</t>
        </is>
      </c>
    </row>
    <row r="127">
      <c r="A127" s="18" t="inlineStr">
        <is>
          <t>External</t>
        </is>
      </c>
      <c r="B127" s="19" t="n">
        <v>46213</v>
      </c>
      <c r="C127" s="18" t="inlineStr">
        <is>
          <t>Form_1099</t>
        </is>
      </c>
      <c r="D127" s="20" t="n">
        <v>1000</v>
      </c>
      <c r="E127" s="20" t="n">
        <v>0</v>
      </c>
      <c r="F127" s="20" t="n">
        <v>0</v>
      </c>
      <c r="G127" s="21">
        <f>D127-E127-F127</f>
        <v/>
      </c>
      <c r="H127" s="18" t="n"/>
      <c r="I127" s="18" t="n"/>
      <c r="J127" s="18" t="inlineStr">
        <is>
          <t>WPD company 1099 income (Trends col X)</t>
        </is>
      </c>
      <c r="K127" s="18" t="n">
        <v>2026</v>
      </c>
      <c r="L127" s="18" t="inlineStr">
        <is>
          <t>Trends R109 2026-07-10</t>
        </is>
      </c>
      <c r="M127" s="18" t="inlineStr">
        <is>
          <t>WPD</t>
        </is>
      </c>
    </row>
    <row r="128">
      <c r="A128" s="18" t="inlineStr">
        <is>
          <t>External</t>
        </is>
      </c>
      <c r="B128" s="19" t="n">
        <v>46220</v>
      </c>
      <c r="C128" s="18" t="inlineStr">
        <is>
          <t>Form_1099</t>
        </is>
      </c>
      <c r="D128" s="20" t="n">
        <v>1000</v>
      </c>
      <c r="E128" s="20" t="n">
        <v>0</v>
      </c>
      <c r="F128" s="20" t="n">
        <v>0</v>
      </c>
      <c r="G128" s="21">
        <f>D128-E128-F128</f>
        <v/>
      </c>
      <c r="H128" s="18" t="n"/>
      <c r="I128" s="18" t="n"/>
      <c r="J128" s="18" t="inlineStr">
        <is>
          <t>WPD company 1099 income (Trends col X)</t>
        </is>
      </c>
      <c r="K128" s="18" t="n">
        <v>2026</v>
      </c>
      <c r="L128" s="18" t="inlineStr">
        <is>
          <t>Trends R110 2026-07-17</t>
        </is>
      </c>
      <c r="M128" s="18" t="inlineStr">
        <is>
          <t>WPD</t>
        </is>
      </c>
    </row>
    <row r="129">
      <c r="A129" s="18" t="inlineStr">
        <is>
          <t>External</t>
        </is>
      </c>
      <c r="B129" s="19" t="n">
        <v>46227</v>
      </c>
      <c r="C129" s="18" t="inlineStr">
        <is>
          <t>Form_1099</t>
        </is>
      </c>
      <c r="D129" s="20" t="n">
        <v>1000</v>
      </c>
      <c r="E129" s="20" t="n">
        <v>0</v>
      </c>
      <c r="F129" s="20" t="n">
        <v>0</v>
      </c>
      <c r="G129" s="21">
        <f>D129-E129-F129</f>
        <v/>
      </c>
      <c r="H129" s="18" t="n"/>
      <c r="I129" s="18" t="n"/>
      <c r="J129" s="18" t="inlineStr">
        <is>
          <t>WPD company 1099 income (Trends col X)</t>
        </is>
      </c>
      <c r="K129" s="18" t="n">
        <v>2026</v>
      </c>
      <c r="L129" s="18" t="inlineStr">
        <is>
          <t>Trends R111 2026-07-24</t>
        </is>
      </c>
      <c r="M129" s="18" t="inlineStr">
        <is>
          <t>WPD</t>
        </is>
      </c>
    </row>
    <row r="130">
      <c r="A130" s="18" t="inlineStr">
        <is>
          <t>External</t>
        </is>
      </c>
      <c r="B130" s="19" t="n">
        <v>46235</v>
      </c>
      <c r="C130" s="18" t="inlineStr">
        <is>
          <t>Form_1099</t>
        </is>
      </c>
      <c r="D130" s="20" t="n">
        <v>1000</v>
      </c>
      <c r="E130" s="20" t="n">
        <v>0</v>
      </c>
      <c r="F130" s="20" t="n">
        <v>0</v>
      </c>
      <c r="G130" s="21">
        <f>D130-E130-F130</f>
        <v/>
      </c>
      <c r="H130" s="18" t="n"/>
      <c r="I130" s="18" t="n"/>
      <c r="J130" s="18" t="inlineStr">
        <is>
          <t>WPD company 1099 income — user-added final week (year done)</t>
        </is>
      </c>
      <c r="K130" s="18" t="n">
        <v>2026</v>
      </c>
      <c r="L130" s="18" t="inlineStr">
        <is>
          <t>User 5 Aug 2026 (this week +1000)</t>
        </is>
      </c>
      <c r="M130" s="18" t="inlineStr">
        <is>
          <t>WPD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22" t="inlineStr">
        <is>
          <t>DISBURSEMENT SUMMARY (includes WPD Form_1099)</t>
        </is>
      </c>
    </row>
    <row r="2">
      <c r="A2" s="23" t="inlineStr">
        <is>
          <t>Source: 2026aug5trends.xlsx | Loaded 5 Aug 2026 | 116 rows</t>
        </is>
      </c>
    </row>
    <row r="3">
      <c r="A3" s="3" t="n"/>
    </row>
    <row r="4">
      <c r="A4" s="24" t="inlineStr">
        <is>
          <t>By txn_type</t>
        </is>
      </c>
    </row>
    <row r="5">
      <c r="A5" s="25" t="inlineStr">
        <is>
          <t>txn_type</t>
        </is>
      </c>
      <c r="B5" s="25" t="inlineStr">
        <is>
          <t>Count</t>
        </is>
      </c>
      <c r="C5" s="25" t="inlineStr">
        <is>
          <t>Gross</t>
        </is>
      </c>
      <c r="D5" s="25" t="inlineStr">
        <is>
          <t>Net</t>
        </is>
      </c>
    </row>
    <row r="6">
      <c r="A6" t="inlineStr">
        <is>
          <t>IRA_Distribution</t>
        </is>
      </c>
      <c r="B6" t="n">
        <v>81</v>
      </c>
      <c r="C6" s="26" t="n">
        <v>98597.55</v>
      </c>
      <c r="D6" s="26" t="n">
        <v>87828.94</v>
      </c>
    </row>
    <row r="7">
      <c r="A7" t="inlineStr">
        <is>
          <t>Roth_Distribution</t>
        </is>
      </c>
      <c r="B7" t="n">
        <v>6</v>
      </c>
      <c r="C7" s="26" t="n">
        <v>588</v>
      </c>
      <c r="D7" s="26" t="n">
        <v>588</v>
      </c>
    </row>
    <row r="8">
      <c r="A8" t="inlineStr">
        <is>
          <t>SSA</t>
        </is>
      </c>
      <c r="B8" t="n">
        <v>10</v>
      </c>
      <c r="C8" s="26" t="n">
        <v>24048</v>
      </c>
      <c r="D8" s="26" t="n">
        <v>24048</v>
      </c>
    </row>
    <row r="9">
      <c r="A9" t="inlineStr">
        <is>
          <t>Withdrawal</t>
        </is>
      </c>
      <c r="B9" t="n">
        <v>19</v>
      </c>
      <c r="C9" s="26" t="n">
        <v>11963</v>
      </c>
      <c r="D9" s="26" t="n">
        <v>11963</v>
      </c>
    </row>
    <row r="10"/>
    <row r="11">
      <c r="A11" s="24" t="inlineStr">
        <is>
          <t>By year</t>
        </is>
      </c>
    </row>
    <row r="12">
      <c r="A12" s="25" t="inlineStr">
        <is>
          <t>Year</t>
        </is>
      </c>
      <c r="B12" s="25" t="inlineStr">
        <is>
          <t>Count</t>
        </is>
      </c>
      <c r="C12" s="25" t="inlineStr">
        <is>
          <t>Gross</t>
        </is>
      </c>
    </row>
    <row r="13">
      <c r="A13" t="n">
        <v>2025</v>
      </c>
      <c r="B13" t="n">
        <v>73</v>
      </c>
      <c r="C13" s="26" t="n">
        <v>85031.45</v>
      </c>
    </row>
    <row r="14">
      <c r="A14" t="n">
        <v>2026</v>
      </c>
      <c r="B14" t="n">
        <v>43</v>
      </c>
      <c r="C14" s="26" t="n">
        <v>50165.1</v>
      </c>
    </row>
    <row r="15"/>
    <row r="16">
      <c r="A16" t="inlineStr">
        <is>
          <t>SSA Tom total</t>
        </is>
      </c>
      <c r="B16" s="26" t="n">
        <v>20055</v>
      </c>
    </row>
    <row r="17">
      <c r="A17" t="inlineStr">
        <is>
          <t>SSA Barb total</t>
        </is>
      </c>
      <c r="B17" s="26" t="n">
        <v>3993</v>
      </c>
    </row>
    <row r="18">
      <c r="A18" t="inlineStr">
        <is>
          <t>Grand total gross</t>
        </is>
      </c>
      <c r="B18" s="26" t="n">
        <v>135196.55</v>
      </c>
    </row>
    <row r="19">
      <c r="A19" t="inlineStr">
        <is>
          <t>Grand total net</t>
        </is>
      </c>
      <c r="B19" s="26" t="n">
        <v>124427.94</v>
      </c>
    </row>
    <row r="20"/>
    <row r="21">
      <c r="A21" t="inlineStr">
        <is>
          <t>Form_1099 (WPD) 2026 total:</t>
        </is>
      </c>
      <c r="B21" s="26" t="n">
        <v>14625</v>
      </c>
    </row>
    <row r="22">
      <c r="A22" t="inlineStr">
        <is>
          <t>Total Disbursement rows:</t>
        </is>
      </c>
      <c r="B22" t="n">
        <v>129</v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70" customWidth="1" min="4" max="4"/>
  </cols>
  <sheetData>
    <row r="1">
      <c r="A1" s="1" t="inlineStr">
        <is>
          <t>Field Reference — Disbursement Transactions</t>
        </is>
      </c>
    </row>
    <row r="2">
      <c r="A2" s="14" t="inlineStr">
        <is>
          <t>Field</t>
        </is>
      </c>
      <c r="B2" s="14" t="inlineStr">
        <is>
          <t>Required?</t>
        </is>
      </c>
      <c r="C2" s="14" t="inlineStr">
        <is>
          <t>Type</t>
        </is>
      </c>
      <c r="D2" s="14" t="inlineStr">
        <is>
          <t>Notes / Allowed values</t>
        </is>
      </c>
    </row>
    <row r="3">
      <c r="A3" s="15" t="inlineStr">
        <is>
          <t>account_name</t>
        </is>
      </c>
      <c r="B3" s="16" t="inlineStr">
        <is>
          <t>Yes</t>
        </is>
      </c>
      <c r="C3" s="15" t="inlineStr">
        <is>
          <t>text</t>
        </is>
      </c>
      <c r="D3" s="15" t="inlineStr">
        <is>
          <t>Must match Template_Accounts.name (or External for pure SSA)</t>
        </is>
      </c>
    </row>
    <row r="4">
      <c r="A4" s="15" t="inlineStr">
        <is>
          <t>txn_date</t>
        </is>
      </c>
      <c r="B4" s="16" t="inlineStr">
        <is>
          <t>Yes</t>
        </is>
      </c>
      <c r="C4" s="15" t="inlineStr">
        <is>
          <t>date</t>
        </is>
      </c>
      <c r="D4" s="15" t="inlineStr">
        <is>
          <t>Payment / distribution / withdrawal date</t>
        </is>
      </c>
    </row>
    <row r="5">
      <c r="A5" s="15" t="inlineStr">
        <is>
          <t>txn_type</t>
        </is>
      </c>
      <c r="B5" s="16" t="inlineStr">
        <is>
          <t>Yes</t>
        </is>
      </c>
      <c r="C5" s="15" t="inlineStr">
        <is>
          <t>enum</t>
        </is>
      </c>
      <c r="D5" s="15" t="inlineStr">
        <is>
          <t>IRA_Distribution | Roth_Distribution | Withdrawal | SSA | Form_1099 | Other</t>
        </is>
      </c>
    </row>
    <row r="6">
      <c r="A6" s="15" t="inlineStr">
        <is>
          <t>amount_gross</t>
        </is>
      </c>
      <c r="B6" s="16" t="inlineStr">
        <is>
          <t>Yes</t>
        </is>
      </c>
      <c r="C6" s="15" t="inlineStr">
        <is>
          <t>number</t>
        </is>
      </c>
      <c r="D6" s="15" t="inlineStr">
        <is>
          <t>Pre-withholding dollars; use 0 only for explicit zero events</t>
        </is>
      </c>
    </row>
    <row r="7">
      <c r="A7" s="15" t="inlineStr">
        <is>
          <t>fed_tax_withheld</t>
        </is>
      </c>
      <c r="B7" s="15" t="inlineStr">
        <is>
          <t>No</t>
        </is>
      </c>
      <c r="C7" s="15" t="inlineStr">
        <is>
          <t>number</t>
        </is>
      </c>
      <c r="D7" s="15" t="inlineStr">
        <is>
          <t>Default 0; common on IRA_Distribution</t>
        </is>
      </c>
    </row>
    <row r="8">
      <c r="A8" s="15" t="inlineStr">
        <is>
          <t>state_tax_withheld</t>
        </is>
      </c>
      <c r="B8" s="15" t="inlineStr">
        <is>
          <t>No</t>
        </is>
      </c>
      <c r="C8" s="15" t="inlineStr">
        <is>
          <t>number</t>
        </is>
      </c>
      <c r="D8" s="15" t="inlineStr">
        <is>
          <t>Default 0</t>
        </is>
      </c>
    </row>
    <row r="9">
      <c r="A9" s="15" t="inlineStr">
        <is>
          <t>amount_net</t>
        </is>
      </c>
      <c r="B9" s="15" t="inlineStr">
        <is>
          <t>Derived</t>
        </is>
      </c>
      <c r="C9" s="15" t="inlineStr">
        <is>
          <t>formula</t>
        </is>
      </c>
      <c r="D9" s="15" t="inlineStr">
        <is>
          <t>gross − fed − state; authoritative for cash-flow &amp; Burndown</t>
        </is>
      </c>
    </row>
    <row r="10">
      <c r="A10" s="15" t="inlineStr">
        <is>
          <t>payee</t>
        </is>
      </c>
      <c r="B10" s="15" t="inlineStr">
        <is>
          <t>Cond.</t>
        </is>
      </c>
      <c r="C10" s="15" t="inlineStr">
        <is>
          <t>text</t>
        </is>
      </c>
      <c r="D10" s="15" t="inlineStr">
        <is>
          <t>Required when txn_type=SSA; values Tom or Barb</t>
        </is>
      </c>
    </row>
    <row r="11">
      <c r="A11" s="15" t="inlineStr">
        <is>
          <t>purpose</t>
        </is>
      </c>
      <c r="B11" s="15" t="inlineStr">
        <is>
          <t>No</t>
        </is>
      </c>
      <c r="C11" s="15" t="inlineStr">
        <is>
          <t>text</t>
        </is>
      </c>
      <c r="D11" s="15" t="inlineStr">
        <is>
          <t>Optional. Health Withdrawal conceptually = medical</t>
        </is>
      </c>
    </row>
    <row r="12">
      <c r="A12" s="15" t="inlineStr">
        <is>
          <t>source_notes</t>
        </is>
      </c>
      <c r="B12" s="15" t="inlineStr">
        <is>
          <t>No</t>
        </is>
      </c>
      <c r="C12" s="15" t="inlineStr">
        <is>
          <t>text</t>
        </is>
      </c>
      <c r="D12" s="15" t="inlineStr">
        <is>
          <t>Original description</t>
        </is>
      </c>
    </row>
    <row r="13">
      <c r="A13" s="15" t="inlineStr">
        <is>
          <t>source_year</t>
        </is>
      </c>
      <c r="B13" s="15" t="inlineStr">
        <is>
          <t>No</t>
        </is>
      </c>
      <c r="C13" s="15" t="inlineStr">
        <is>
          <t>int</t>
        </is>
      </c>
      <c r="D13" s="15" t="inlineStr">
        <is>
          <t>Calendar year of txn_date</t>
        </is>
      </c>
    </row>
    <row r="14">
      <c r="A14" s="15" t="inlineStr">
        <is>
          <t>source_ref</t>
        </is>
      </c>
      <c r="B14" s="15" t="inlineStr">
        <is>
          <t>No</t>
        </is>
      </c>
      <c r="C14" s="15" t="inlineStr">
        <is>
          <t>text</t>
        </is>
      </c>
      <c r="D14" s="15" t="inlineStr">
        <is>
          <t>Audit trail: Trends week, activity id, etc.</t>
        </is>
      </c>
    </row>
    <row r="15">
      <c r="A15" s="15" t="inlineStr">
        <is>
          <t>notes</t>
        </is>
      </c>
      <c r="B15" s="15" t="inlineStr">
        <is>
          <t>No</t>
        </is>
      </c>
      <c r="C15" s="15" t="inlineStr">
        <is>
          <t>text</t>
        </is>
      </c>
      <c r="D15" s="15" t="inlineStr">
        <is>
          <t>Free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2026-08-04T17:23:37Z</dcterms:created>
  <dcterms:modified xmlns:dcterms="http://purl.org/dc/terms/" xmlns:xsi="http://www.w3.org/2001/XMLSchema-instance" xsi:type="dcterms:W3CDTF">2026-08-05T15:27:48Z</dcterms:modified>
</cp:coreProperties>
</file>